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<sst xmlns="http://schemas.openxmlformats.org/spreadsheetml/2006/main" count="126" uniqueCount="108">
  <si>
    <t>Capability</t>
  </si>
  <si>
    <t>Old Count</t>
  </si>
  <si>
    <t>New Count</t>
  </si>
  <si>
    <t>Difference</t>
  </si>
  <si>
    <r>
      <rPr>
        <rFont val="Arial"/>
        <color theme="1"/>
      </rPr>
      <t xml:space="preserve">Old To New Difference
</t>
    </r>
    <r>
      <rPr>
        <rFont val="Arial"/>
        <b/>
        <color theme="1"/>
      </rPr>
      <t>Incorrect capabilities</t>
    </r>
  </si>
  <si>
    <r>
      <rPr>
        <rFont val="Arial"/>
        <color theme="1"/>
      </rPr>
      <t xml:space="preserve">New To Old Difference
</t>
    </r>
    <r>
      <rPr>
        <rFont val="Arial"/>
        <b/>
        <color theme="1"/>
      </rPr>
      <t>Unlocked new visibility</t>
    </r>
    <r>
      <rPr>
        <rFont val="Arial"/>
        <color theme="1"/>
      </rPr>
      <t xml:space="preserve"> (capabilities which were present but not shown)</t>
    </r>
  </si>
  <si>
    <t>Old Integrations</t>
  </si>
  <si>
    <t>New Integrations</t>
  </si>
  <si>
    <t>Old Integrations - New Integrations</t>
  </si>
  <si>
    <t>New Integrations - Old Integrations</t>
  </si>
  <si>
    <t>User Work Email</t>
  </si>
  <si>
    <t>Google Workspace, Zoho Books, Okta, Slack, GitHub, Todoist, Azure AD, Asana, Zoom, Dropbox, Box, OneLogin, Zoho Expense, Cloudflare, Sentry, Google Cloud Platform, Wrike, Zoho Analytics, Freshchat, Microsoft 365, Adobe Creative Cloud, Google Analytics, Atlassian Admin, Bitbucket, Cisco Webex Meetings, Microsoft Teams, Bonusly, Heroku, Google Ads, NetSuite (Legacy), Zoho People, MongoDB, Fireflies, Smartsheet, WordPress, Google Workspace (Service Account), VictorOps, EZOfficeInventory, Sumo Logic, Eventbrite, ShipStation, Keap (formerly Infusionsoft), Bitwarden, Aha!, Notion, Mixmax, Delighted, Freshteam, Statuspage, DOMO, Slack Enterprise, Livestorm, Netlify, Outreach, Lokalise, Auth0, Sophos Central, Hibob HRIS, SalesLoft, Avalara, DocuSign, Pluralsight Skills, Harvest, GanttPRO, Zulip, Hexnode MDM, Clockify, ClickUp, Contentful, Cockpit CMS, Hunter, Acuity Scheduling, Certify Expense, TalentLMS, Egnyte, Linode, Help Scout, Jamf Pro, Float, Salesforce (Form Based), LastPass, SonarCloud, Appfigures, Bugsnag, Tableau, Codefresh, bexio, Crisp, Jira, monday.com, PagerDuty, Document360, Trello, Intercom, Zendesk, JumpCloud, SendGrid, Pipedrive, Opsgenie, Calendly, Datadog APM, ActiveCampaign, Zoho Desk, Freshservice, Azure DevOps, Aircall, Zoho Crm, Freshbooks, Basecamp, TestRail, Freshdesk, Xero, Gong, HubSpot CRM - Legacy, ServiceNow, BambooHR, Rollbar, PingIdentity, Digicert, Pingdom, Cisco Meraki, Stripe Connect, Apollo.io, Fivetran, GreenHouse, Salesforce (OAuth), SauceLabs, Site24x7, Hello Sign, GitKraken, PersonioHR, LaunchDarkly, Brex, Optimizely, Sentry - API Key, Freshwork Crm, Collibra, 1Password, KnowBe4, Canny, CheckPoint Infinity, Google Play Store, Cloudflare (API Token), Miro, Miro Enterprise, Informatica, Qualtrics Core XM, Envoy, Splunk Cloud, ConfigCat, DBT cloud, NinjaRMM, Microsoft Azure, Teamwork, HubSpot CRM Oauth, Perimeter 81, Looker, Zenduty, Workable, Snowflake, Adobe Sign, Kandji, ScheduleOnce, Spot by Net App, Teamtailor, Time Doctor, Coda, Asana Enterprise, Frame.io, Lattice, NetSuite, Wufoo, Microsoft Intune, Guru, Jira Service Desk, UKG Pro, Front, ADP Workers, Lucid, Miro Custom, Zscaler, SurveyMonkey, Hibob - Service User, JustCall, Airtable, Parsec, Marketo, SAP Concur, BlogIn, Loopio, Keka, Salesforce-V2, Amplitude, Figma, Harness, Drata, Imperva, Lessonly, Vercel, Coupa, Ramp, Databricks, Microsoft Intune V2, AWS Identity Center , Alchemer, Lucid Scim, Typeform, MailerLite, Infinipoint Custom, GitHub Enterprise, Segment, Anodot, Docker Hub, Honeybadger, Brevo, Snipe-IT, 360Learning, HackerOne, Keeper, Adobe Creative Cloud V2, Preset (Custom), Thinkst Canary, Snyk, Dialpad, Workday Oauth, Ironclad, SpotDraft, DNSimple, FOSSA, Culture Amp, Detectify, Worksuite, FullStory, Zip Hq, Checkr, Grammarly Business, Printix, EvaluAgent, Astronomer, Kisi, Qase, Grafana, Make, AppNexus, GitHub Copilot, Rippling Api-key, Workday Custom, Cisco Umbrella V2, Azure AD (Machine to Machine), Okta (Machine to Machine), CornerStone, Crowdstrike Falcon, Workato, AppFollow(V2), CyberArk Identity, Torq, Imply</t>
  </si>
  <si>
    <t>Google Workspace, Zoho Books, Okta, Slack, GitHub, Todoist, Azure AD, Confluence, Intuit QuickBooks, Asana, Zoom, Dropbox, Box, OneLogin, GitLab, Zoho Expense, Cloudflare, Sentry, Google Cloud Platform, Wrike, Zoho Analytics, Freshchat, Microsoft 365, Adobe Creative Cloud, Google Analytics, Atlassian Admin, Bitbucket, Cisco Webex Meetings, Microsoft Teams, Bonusly, Heroku, Google Ads, NetSuite (Legacy), GitLab (Self Managed), Zoho People, MongoDB, Fireflies, Smartsheet, WordPress, Google Workspace (Service Account), VictorOps, Fastly, EZOfficeInventory, Sumo Logic, Zeplin, Eventbrite, ShipStation, Keap (formerly Infusionsoft), Bitwarden, Aha!, Notion, TeamViewer, Microsoft Cloud App Security, Mixmax, Delighted, Freshteam, Statuspage, DOMO, Slack Enterprise, Livestorm, Netlify, Outreach, Lokalise, Auth0, Sophos Central, Hibob HRIS, SalesLoft, Avalara, DocuSign, Pluralsight Skills, Harvest, Shutterstock, GanttPRO, Kissflow, Zulip, Hexnode MDM, Clockify, ClickUp, Contentful, Cockpit CMS, Hunter, Acuity Scheduling, Certify Expense, TalentLMS, Egnyte, Linode, Help Scout, Jamf Pro, Everhour, Float, Salesforce (Form Based), LastPass, SonarCloud, Appfigures, Bugsnag, Tableau, Codefresh, SendBird, bexio, Crisp, Jira, monday.com, PagerDuty, Document360, Trello, Intercom, Zendesk, JumpCloud, SendGrid, Pipedrive, Opsgenie, Calendly, Datadog APM, ActiveCampaign, Zoho Desk, Freshservice, Azure DevOps, Aircall, Zoho Crm, Freshbooks, Basecamp, TestRail, Freshdesk, Xero, Gong, HubSpot CRM - Legacy, ServiceNow, Jira Self Hosted, Confluence Self Hosted, BambooHR, Rollbar, PingIdentity, Digicert, Pingdom, Cisco Meraki, 15Five, LogMeIn Central, Stripe Connect, Apollo.io, Fivetran, GreenHouse, Salesforce (OAuth), SauceLabs, Site24x7, Hello Sign, GitKraken, Logz.io, PersonioHR, LaunchDarkly, Brex, Optimizely, Runscope, Sentry - API Key, Afi SaaS Backup, Freshwork Crm, Mixpanel, Atera, Collibra, 1Password, KnowBe4, Canny, CheckPoint Infinity, Google Play Store, FireHydrant, Cloudflare (API Token), Miro, Miro Enterprise, Informatica, Qualtrics Core XM, Envoy, New Relic APM, Splunk Cloud, ConfigCat, DBT cloud, Paperspace, NinjaRMM, Postmark, Microsoft Azure, Teamwork, SuccessFactors, Qualys Cloud Platform, HubSpot CRM Oauth, Productboard, TravelPerk, Automox, Perimeter 81, Looker, Zenduty, Workable, Snowflake, Adobe Sign, Kandji, ScheduleOnce, Spot by Net App, Teamtailor, Time Doctor, Coda, Linear, Asana Enterprise, Frame.io, Lattice, NetSuite, Wufoo, Microsoft Intune, Guru, Jira Service Desk, CoderPad, UKG Pro, Front, ADP Workers, Jetbrains, Lucid, Sage Intacct, Miro Custom, Zscaler, SurveyMonkey, Hibob - Service User, JustCall, Airtable, Parsec, Marketo, SAP Concur, BlogIn, Loopio, Keka, Salesforce-V2, Apple App Store Connect, Amplitude, Figma, Workday (Custom), Harness, Drata, Imperva, Lessonly, Vercel, Coupa, Ramp, Databricks, Microsoft Intune V2, AWS Identity Center , Alchemer, Lucid Scim, Typeform, MailerLite, Infinipoint Custom, GitHub Enterprise, Segment, Anodot, Docker Hub, Honeybadger, Brevo, Snipe-IT, 360Learning, HackerOne, Keeper, Adobe Creative Cloud V2, Preset (Custom), Thinkst Canary, Snyk, Dialpad, Workday Oauth, Ironclad, SpotDraft, DNSimple, FOSSA, Culture Amp, Detectify, Worksuite, FullStory, Checkr, Grammarly Business, Printix, EvaluAgent, Astronomer, Kisi, Qase, Grafana, Make, AppNexus, GitHub Copilot, Rippling Api-key, Workday Custom, Cisco Umbrella V2, Bill Spends &amp; Expense, Zoom Custom, Azure AD (Machine to Machine), Okta (Machine to Machine), CornerStone, Crowdstrike Falcon, Workato, AppFollow(V2), CyberArk Identity, Torq, Imply</t>
  </si>
  <si>
    <t>Zip Hq</t>
  </si>
  <si>
    <t>Confluence, Intuit QuickBooks, GitLab, GitLab (Self Managed), Fastly, Zeplin, TeamViewer, Microsoft Cloud App Security, Shutterstock, Kissflow, Everhour, SendBird, Jira Self Hosted, Confluence Self Hosted, 15Five, LogMeIn Central, Logz.io, Runscope, Afi SaaS Backup, Mixpanel, Atera, FireHydrant, New Relic APM, Paperspace, Postmark, SuccessFactors, Qualys Cloud Platform, Productboard, TravelPerk, Automox, Linear, CoderPad, Jetbrains, Sage Intacct, Apple App Store Connect, Workday (Custom), Bill Spends &amp; Expense, Zoom Custom</t>
  </si>
  <si>
    <t>User Status</t>
  </si>
  <si>
    <t>Google Workspace, Zoho Books, Okta, Slack, Azure AD, Confluence, Zoom, Dropbox, Box, OneLogin, GitLab, Zoho Expense, Sentry, Freshchat, Microsoft 365, Adobe Creative Cloud, Atlassian Admin, Bitbucket, Cisco Webex Meetings, Microsoft Teams, Bonusly, Heroku, NetSuite (Legacy), GitLab (Self Managed), Zoho People, Smartsheet, Google Workspace (Service Account), VictorOps, Sumo Logic, Zeplin, Keap (formerly Infusionsoft), Bitwarden, TeamViewer, Freshteam, Statuspage, Slack Enterprise, Lokalise, Auth0, SalesLoft, Avalara, DocuSign, Harvest, GanttPRO, Kissflow, Clockify, Contentful, Hunter, Acuity Scheduling, TalentLMS, Egnyte, Help Scout, Everhour, Float, Salesforce (Form Based), LastPass, Appfigures, Codefresh, SendBird, Jira, monday.com, Trello, Zendesk, JumpCloud, Pipedrive, Datadog APM, Zoho Desk, Freshservice, Aircall, Zoho Crm, Freshbooks, Basecamp, TestRail, Freshdesk, Gong, ServiceNow, Jira Self Hosted, Confluence Self Hosted, PingIdentity, Digicert, Pingdom, Cisco Meraki, GreenHouse, Salesforce (OAuth), Logz.io, LaunchDarkly, Brex, Optimizely, Runscope, Sentry - API Key, Atera, Collibra, 1Password, KnowBe4, Canny, Informatica, Qualys Cloud Platform, Snowflake, NetSuite, Wufoo, UKG Pro, SAP Concur, Salesforce-V2, Figma, Ramp, Alchemer, Lucid Scim, MailerLite, Anodot, Docker Hub, Brevo, Snipe-IT, Adobe Creative Cloud V2, Dialpad, Ironclad, FOSSA, Workday Custom, Zoom Custom, Azure AD (Machine to Machine), Okta (Machine to Machine), CornerStone, Crowdstrike Falcon, Workato, AppFollow(V2), CyberArk Identity, Torq, Imply</t>
  </si>
  <si>
    <t>Google Workspace, Zoho Books, Okta, Slack, GitHub, Todoist, Azure AD, Confluence, Intuit QuickBooks, Asana, Zoom, Dropbox, Box, OneLogin, GitLab, Zoho Expense, Cloudflare, AWS Management Console (IAM), Sentry, Google Cloud Platform, Wrike, Zoho Analytics, Freshchat, Microsoft 365, Adobe Creative Cloud, Google Analytics, Atlassian Admin, Bitbucket, Cisco Webex Meetings, Microsoft Teams, Bonusly, Heroku, Google Ads, NetSuite (Legacy), GitLab (Self Managed), Zoho People, MongoDB, Fireflies, Smartsheet, WordPress, Google Workspace (Service Account), VictorOps, Fastly, EZOfficeInventory, Sumo Logic, Zeplin, Eventbrite, ShipStation, Keap (formerly Infusionsoft), Bitwarden, Aha!, Notion, TeamViewer, Microsoft Cloud App Security, Mixmax, Delighted, Freshteam, Statuspage, DOMO, Slack Enterprise, Livestorm, Netlify, Outreach, Lokalise, Auth0, Sophos Central, Hibob HRIS, SalesLoft, Avalara, DocuSign, Pluralsight Skills, Harvest, Shutterstock, GanttPRO, Kissflow, Zulip, Hexnode MDM, Clockify, ClickUp, Contentful, Cockpit CMS, Hunter, Acuity Scheduling, Certify Expense, TalentLMS, Egnyte, Linode, Help Scout, Jamf Pro, Everhour, Float, Salesforce (Form Based), LastPass, SonarCloud, Appfigures, Bugsnag, Tableau, Codefresh, SendBird, Crisp, Jira, monday.com, PagerDuty, Document360, Trello, Intercom, Zendesk, JumpCloud, Pipedrive, Opsgenie, Calendly, Datadog APM, Zoho Desk, Freshservice, Azure DevOps, Aircall, Zoho Crm, Freshbooks, Basecamp, TestRail, Freshdesk, Xero, Gong, HubSpot CRM - Legacy, ServiceNow, Jira Self Hosted, Confluence Self Hosted, BambooHR, PingIdentity, Digicert, Pingdom, Cisco Meraki, 15Five, LogMeIn Central, Apollo.io, Fivetran, GreenHouse, Salesforce (OAuth), SauceLabs, Site24x7, GitKraken, Logz.io, PersonioHR, LaunchDarkly, Brex, Optimizely, Sentry - API Key, Afi SaaS Backup, Freshwork Crm, Mixpanel, Atera, Collibra, 1Password, KnowBe4, Canny, CheckPoint Infinity, Google Play Store, FireHydrant, Cloudflare (API Token), Miro, Miro Enterprise, Informatica, Qualtrics Core XM, Envoy, New Relic APM, Splunk Cloud, ConfigCat, DBT cloud, Paperspace, NinjaRMM, Postmark, Microsoft Azure, Teamwork, SuccessFactors, Qualys Cloud Platform, HubSpot CRM Oauth, Productboard, TravelPerk, Automox, Perimeter 81, Looker, Zenduty, Workable, Adobe Sign, Kandji, ScheduleOnce, Spot by Net App, Teamtailor, Time Doctor, Coda, Linear, Asana Enterprise, Frame.io, Lattice, NetSuite, Wufoo, Microsoft Intune, Guru, Jira Service Desk, CoderPad, UKG Pro, Front, ADP Workers, Jetbrains, Lucid, Sage Intacct, Miro Custom, Zscaler, SurveyMonkey, Hibob - Service User, JustCall, Airtable, Parsec, Marketo, SAP Concur, BlogIn, Loopio, Keka, Salesforce-V2, Apple App Store Connect, Amplitude, Figma, Workday (Custom), Harness, Drata, Imperva, Lessonly, Vercel, Coupa, Ramp, Databricks, Microsoft Intune V2, Alchemer, Lucid Scim, MailerLite, Infinipoint Custom, Segment, Anodot, Docker Hub, Brevo, Snipe-IT, HackerOne, Keeper, Adobe Creative Cloud V2, Preset (Custom), Thinkst Canary, Dialpad, Workday Oauth, Ironclad, SpotDraft, DNSimple, FOSSA, Culture Amp, Detectify, Worksuite, FullStory, Checkr, Grammarly Business, Printix, EvaluAgent, Astronomer, Kisi, Qase, Grafana, AppNexus, GitHub Copilot, Rippling Api-key, Workday Custom, Cisco Umbrella V2, Bill Spends &amp; Expense, Zoom Custom, Azure AD (Machine to Machine), Okta (Machine to Machine), CornerStone, Crowdstrike Falcon, Workato, AppFollow(V2), CyberArk Identity, Torq, Imply</t>
  </si>
  <si>
    <t>Runscope, Snowflake</t>
  </si>
  <si>
    <t>GitHub, Todoist, Intuit QuickBooks, Asana, Cloudflare, AWS Management Console (IAM), Google Cloud Platform, Wrike, Zoho Analytics, Google Analytics, Google Ads, MongoDB, Fireflies, WordPress, Fastly, EZOfficeInventory, Eventbrite, ShipStation, Aha!, Notion, Microsoft Cloud App Security, Mixmax, Delighted, DOMO, Livestorm, Netlify, Outreach, Sophos Central, Hibob HRIS, Pluralsight Skills, Shutterstock, Zulip, Hexnode MDM, ClickUp, Cockpit CMS, Certify Expense, Linode, Jamf Pro, SonarCloud, Bugsnag, Tableau, Crisp, PagerDuty, Document360, Intercom, Opsgenie, Calendly, Azure DevOps, Xero, HubSpot CRM - Legacy, BambooHR, 15Five, LogMeIn Central, Apollo.io, Fivetran, SauceLabs, Site24x7, GitKraken, PersonioHR, Afi SaaS Backup, Freshwork Crm, Mixpanel, CheckPoint Infinity, Google Play Store, FireHydrant, Cloudflare (API Token), Miro, Miro Enterprise, Qualtrics Core XM, Envoy, New Relic APM, Splunk Cloud, ConfigCat, DBT cloud, Paperspace, NinjaRMM, Postmark, Microsoft Azure, Teamwork, SuccessFactors, HubSpot CRM Oauth, Productboard, TravelPerk, Automox, Perimeter 81, Looker, Zenduty, Workable, Adobe Sign, Kandji, ScheduleOnce, Spot by Net App, Teamtailor, Time Doctor, Coda, Linear, Asana Enterprise, Frame.io, Lattice, Microsoft Intune, Guru, Jira Service Desk, CoderPad, Front, ADP Workers, Jetbrains, Lucid, Sage Intacct, Miro Custom, Zscaler, SurveyMonkey, Hibob - Service User, JustCall, Airtable, Parsec, Marketo, BlogIn, Loopio, Keka, Apple App Store Connect, Amplitude, Workday (Custom), Harness, Drata, Imperva, Lessonly, Vercel, Coupa, Databricks, Microsoft Intune V2, Infinipoint Custom, Segment, HackerOne, Keeper, Preset (Custom), Thinkst Canary, Workday Oauth, SpotDraft, DNSimple, Culture Amp, Detectify, Worksuite, FullStory, Checkr, Grammarly Business, Printix, EvaluAgent, Astronomer, Kisi, Qase, Grafana, AppNexus, GitHub Copilot, Rippling Api-key, Cisco Umbrella V2, Bill Spends &amp; Expense</t>
  </si>
  <si>
    <t>User Department</t>
  </si>
  <si>
    <t>Google Workspace, Azure AD, Zoom, Zoho Expense, Zoho People, Google Workspace (Service Account), Freshteam, Hibob HRIS, LastPass, Crisp, Freshservice, BambooHR, Brex, KnowBe4, Lattice, Hibob - Service User, Keka, Figma, Ramp, Snipe-IT, Workday Custom, Azure AD (Machine to Machine), Okta (Machine to Machine), CyberArk Identity</t>
  </si>
  <si>
    <t>Google Workspace, Zoho Books, Okta, Azure AD, Zoom, OneLogin, Freshchat, Google Analytics, Heroku, NetSuite (Legacy), Zoho People, Smartsheet, WordPress, Google Workspace (Service Account), VictorOps, Fastly, ShipStation, Keap (formerly Infusionsoft), Bitwarden, Notion, TeamViewer, Mixmax, Delighted, Freshteam, Livestorm, Lokalise, Auth0, Hibob HRIS, Harvest, ClickUp, Codefresh, SendBird, Zendesk, JumpCloud, Azure DevOps, Basecamp, Freshdesk, BambooHR, PingIdentity, 15Five, GitKraken, Logz.io, PersonioHR, Afi SaaS Backup, 1Password, Miro, Miro Enterprise, SuccessFactors, Lattice, NetSuite, ADP Workers, Lucid, Zscaler, Hibob - Service User, Airtable, Parsec, Keka, Apple App Store Connect, Amplitude, Figma, Workday (Custom), Lessonly, Ramp, Segment, Docker Hub, Snipe-IT, Preset (Custom), SpotDraft, Worksuite, FullStory, Checkr, Printix, Rippling Api-key, Workday Custom, Zoom Custom, Azure AD (Machine to Machine), Okta (Machine to Machine), CyberArk Identity</t>
  </si>
  <si>
    <t>Zoho Expense, LastPass, Crisp, Freshservice, Brex, KnowBe4</t>
  </si>
  <si>
    <t>Zoho Books, Okta, OneLogin, Freshchat, Google Analytics, Heroku, NetSuite (Legacy), Smartsheet, WordPress, VictorOps, Fastly, ShipStation, Keap (formerly Infusionsoft), Bitwarden, Notion, TeamViewer, Mixmax, Delighted, Livestorm, Lokalise, Auth0, Harvest, ClickUp, Codefresh, SendBird, Zendesk, JumpCloud, Azure DevOps, Basecamp, Freshdesk, PingIdentity, 15Five, GitKraken, Logz.io, PersonioHR, Afi SaaS Backup, 1Password, Miro, Miro Enterprise, SuccessFactors, NetSuite, ADP Workers, Lucid, Zscaler, Airtable, Parsec, Apple App Store Connect, Amplitude, Workday (Custom), Lessonly, Segment, Docker Hub, Preset (Custom), SpotDraft, Worksuite, FullStory, Checkr, Printix, Rippling Api-key, Zoom Custom</t>
  </si>
  <si>
    <t>User Job title</t>
  </si>
  <si>
    <t>Google Workspace, Azure AD, Google Workspace (Service Account), Crisp, Basecamp, Freshdesk, BambooHR, Stripe Connect, Site24x7, KnowBe4, Informatica, SAP Concur, Snipe-IT, Dialpad, Workday Oauth, Workday Custom, Azure AD (Machine to Machine)</t>
  </si>
  <si>
    <t>Google Workspace, Okta, Azure AD, OneLogin, NetSuite (Legacy), Zoho People, Smartsheet, Google Workspace (Service Account), Keap (formerly Infusionsoft), Freshteam, Hibob HRIS, SalesLoft, DocuSign, JumpCloud, Freshbooks, Freshdesk, BambooHR, 15Five, PersonioHR, SuccessFactors, Qualys Cloud Platform, TravelPerk, Lattice, NetSuite, ADP Workers, Hibob - Service User, Keka, Figma, Workday (Custom), Drata, Lessonly, Snipe-IT, Workday Oauth, Ironclad, Rippling Api-key, Workday Custom, Azure AD (Machine to Machine), Okta (Machine to Machine)</t>
  </si>
  <si>
    <t>Crisp, Basecamp, Stripe Connect, Site24x7, KnowBe4, Informatica, SAP Concur, Dialpad</t>
  </si>
  <si>
    <t>Okta, OneLogin, NetSuite (Legacy), Zoho People, Smartsheet, Keap (formerly Infusionsoft), Freshteam, Hibob HRIS, SalesLoft, DocuSign, JumpCloud, Freshbooks, 15Five, PersonioHR, SuccessFactors, Qualys Cloud Platform, TravelPerk, Lattice, NetSuite, ADP Workers, Hibob - Service User, Keka, Figma, Workday (Custom), Drata, Lessonly, Ironclad, Rippling Api-key, Okta (Machine to Machine)</t>
  </si>
  <si>
    <t>Groups</t>
  </si>
  <si>
    <t>Google Workspace, Azure AD, Confluence, Zoom, Dropbox, Box, OneLogin, Freshchat, Bitbucket, Heroku, MongoDB, Smartsheet, Google Workspace (Service Account), Freshteam, Slack Enterprise, Lokalise, SalesLoft, Zulip, Hexnode MDM, Clockify, ClickUp, Everhour, SonarCloud, Codefresh, Zendesk, JumpCloud, ActiveCampaign, Freshservice, Confluence Self Hosted, Site24x7, 1Password, Informatica, SAP Concur</t>
  </si>
  <si>
    <t>Google Workspace, Okta, Slack, GitHub, Azure AD, Zoom, Dropbox, OneLogin, Sentry, Adobe Creative Cloud, Smartsheet, Google Workspace (Service Account), DocuSign, ClickUp, Tableau, Zendesk, JumpCloud, Freshservice, Freshdesk, Confluence Self Hosted, PingIdentity, Site24x7, Zscaler, Lucid Scim, Anodot, HackerOne, Adobe Creative Cloud V2, Zoom Custom, Azure AD (Machine to Machine), Okta (Machine to Machine), CyberArk Identity, Imply</t>
  </si>
  <si>
    <t>Confluence, Box, Freshchat, Bitbucket, Heroku, MongoDB, Freshteam, Slack Enterprise, Lokalise, SalesLoft, Zulip, Hexnode MDM, Clockify, Everhour, SonarCloud, Codefresh, ActiveCampaign, 1Password, Informatica, SAP Concur</t>
  </si>
  <si>
    <t>Okta, Slack, GitHub, Sentry, Adobe Creative Cloud, DocuSign, Tableau, Freshdesk, PingIdentity, Zscaler, Lucid Scim, Anodot, HackerOne, Adobe Creative Cloud V2, Zoom Custom, Azure AD (Machine to Machine), Okta (Machine to Machine), CyberArk Identity, Imply</t>
  </si>
  <si>
    <t>Role</t>
  </si>
  <si>
    <t>Google Workspace, Zoho Books, Slack, Asana, Zoom, Dropbox, Box, Zoho Expense, Sentry, Google Cloud Platform, Wrike, Zoho Analytics, Freshchat, Atlassian Admin, Bitbucket, Cisco Webex Meetings, Bonusly, Heroku, Google Ads, Zoho People, MongoDB, Fireflies, Smartsheet, WordPress, Google Workspace (Service Account), Zeplin, Aha!, Mixmax, DOMO, Slack Enterprise, Livestorm, Netlify, Outreach, Lokalise, Auth0, Hibob HRIS, SalesLoft, Avalara, Pluralsight Skills, Harvest, Shutterstock, Zulip, Clockify, ClickUp, Egnyte, Linode, Help Scout, Everhour, Salesforce (Form Based), LastPass, SonarCloud, Appfigures, Bugsnag, Tableau, Codefresh, bexio, Crisp, monday.com, Document360, Trello, Zendesk, JumpCloud, SendGrid, Pipedrive, Opsgenie, Calendly, Datadog APM, Zoho Desk, Freshservice, Zoho Crm, Basecamp, Xero, ServiceNow, Digicert, Pingdom, Stripe Connect, Apollo.io, Fivetran, Salesforce (OAuth), SauceLabs, Site24x7, Logz.io, LaunchDarkly, Brex, Sentry - API Key, 1Password, KnowBe4, CheckPoint Infinity, Google Play Store, Miro Enterprise, Informatica, Splunk Cloud, Qualys Cloud Platform, Spot by Net App, Asana Enterprise, NetSuite, Hibob - Service User, SAP Concur, Salesforce-V2, Figma, Vercel, Ramp, Databricks, Typeform, Anodot, Honeybadger, Brevo, Preset (Custom), Snyk, FOSSA, Detectify, Worksuite, Checkr, EvaluAgent, Kisi, Make, Rippling Api-key, Zoom Custom, Okta (Machine to Machine), Crowdstrike Falcon, Workato, AppFollow(V2), CyberArk Identity, Torq, Imply</t>
  </si>
  <si>
    <t>Google Workspace, Okta, Slack, GitHub, Azure AD, Asana, Zoom, Dropbox, Box, OneLogin, Sentry, Google Cloud Platform, Wrike, Freshchat, Adobe Creative Cloud, Bitbucket, Bonusly, NetSuite (Legacy), Zoho People, Smartsheet, Google Workspace (Service Account), Fastly, Aha!, Slack Enterprise, Outreach, SalesLoft, DocuSign, Zulip, ClickUp, Egnyte, Salesforce (Form Based), LastPass, Tableau, Codefresh, monday.com, PagerDuty, Zendesk, JumpCloud, SendGrid, Pipedrive, Opsgenie, Calendly, Datadog APM, Freshservice, Freshbooks, TestRail, Freshdesk, ServiceNow, Pingdom, Stripe Connect, Fivetran, Salesforce (OAuth), GitKraken, LaunchDarkly, Sentry - API Key, 1Password, Miro, Miro Enterprise, Splunk Cloud, Teamwork, Qualys Cloud Platform, Looker, Spot by Net App, Time Doctor, Asana Enterprise, Lattice, NetSuite, UKG Pro, Lucid, Miro Custom, Parsec, Salesforce-V2, Apple App Store Connect, Figma, Workday (Custom), Harness, Drata, Imperva, Lessonly, Vercel, Coupa, Ramp, Databricks, AWS Identity Center , Lucid Scim, Typeform, GitHub Enterprise, Anodot, Honeybadger, HackerOne, Adobe Creative Cloud V2, Preset (Custom), Snyk, SpotDraft, FOSSA, Detectify, Worksuite, FullStory, Checkr, Printix, Astronomer, Kisi, Grafana, AppNexus, Cisco Umbrella V2, Bill Spends &amp; Expense, Zoom Custom, Azure AD (Machine to Machine), Okta (Machine to Machine), Crowdstrike Falcon, Workato, AppFollow(V2), CyberArk Identity, Torq, Imply</t>
  </si>
  <si>
    <t>Zoho Books, Zoho Expense, Zoho Analytics, Atlassian Admin, Cisco Webex Meetings, Heroku, Google Ads, MongoDB, Fireflies, WordPress, Zeplin, Mixmax, DOMO, Livestorm, Netlify, Lokalise, Auth0, Hibob HRIS, Avalara, Pluralsight Skills, Harvest, Shutterstock, Clockify, Linode, Help Scout, Everhour, SonarCloud, Appfigures, Bugsnag, bexio, Crisp, Document360, Trello, Zoho Desk, Zoho Crm, Basecamp, Xero, Digicert, Apollo.io, SauceLabs, Site24x7, Logz.io, Brex, KnowBe4, CheckPoint Infinity, Google Play Store, Informatica, Hibob - Service User, SAP Concur, Brevo, EvaluAgent, Make, Rippling Api-key</t>
  </si>
  <si>
    <t>Okta, GitHub, Azure AD, OneLogin, Adobe Creative Cloud, NetSuite (Legacy), Fastly, DocuSign, PagerDuty, Freshbooks, TestRail, Freshdesk, GitKraken, Miro, Teamwork, Looker, Time Doctor, Lattice, UKG Pro, Lucid, Miro Custom, Parsec, Apple App Store Connect, Workday (Custom), Harness, Drata, Imperva, Lessonly, Coupa, AWS Identity Center , Lucid Scim, GitHub Enterprise, HackerOne, Adobe Creative Cloud V2, SpotDraft, FullStory, Printix, Astronomer, Grafana, AppNexus, Cisco Umbrella V2, Bill Spends &amp; Expense, Azure AD (Machine to Machine)</t>
  </si>
  <si>
    <t>Audit Information</t>
  </si>
  <si>
    <t>Google Workspace, Okta, Azure AD, Confluence, Dropbox, Cloudflare, AWS Management Console (IAM), Google Workspace (Service Account), TeamViewer, Netlify, LastPass, PagerDuty, Jira Self Hosted, Confluence Self Hosted, Site24x7, LaunchDarkly, Cloudflare (API Token), Miro Custom, Azure AD (Machine to Machine), Okta (Machine to Machine), Torq, Imply</t>
  </si>
  <si>
    <t>Asana, Google Workspace (Service Account), Jira, PagerDuty, Zendesk, Jira Self Hosted, Site24x7, LaunchDarkly, Miro, Miro Enterprise, Coda, Miro Custom, Microsoft Intune V2, Torq, Imply</t>
  </si>
  <si>
    <t>Google Workspace, Okta, Azure AD, Confluence, Dropbox, Cloudflare, AWS Management Console (IAM), TeamViewer, Netlify, LastPass, Confluence Self Hosted, Cloudflare (API Token), Azure AD (Machine to Machine), Okta (Machine to Machine)</t>
  </si>
  <si>
    <t>Asana, Jira, Zendesk, Miro, Miro Enterprise, Coda, Microsoft Intune V2</t>
  </si>
  <si>
    <t>Last Login</t>
  </si>
  <si>
    <t>Google Workspace, Okta, Zoom, OneLogin, AWS Management Console (IAM), Sentry, Microsoft 365, Atlassian Admin, Cisco Webex Meetings, Microsoft Teams, Bonusly, Heroku, Google Workspace (Service Account), TeamViewer, Statuspage, Outreach, Auth0, SalesLoft, Pluralsight Skills, ClickUp, Egnyte, Salesforce (Form Based), LastPass, Appfigures, Tableau, Codefresh, SendBird, Document360, Zendesk, Pipedrive, Calendly, Freshbooks, Freshdesk, Fivetran, Salesforce (OAuth), LaunchDarkly, Atera, Canny, CheckPoint Infinity, Informatica, Qualys Cloud Platform, Snowflake, JustCall, SAP Concur, Salesforce-V2, Alchemer, Infinipoint Custom, Anodot, Snipe-IT, Preset (Custom), Azure AD (Machine to Machine), Okta (Machine to Machine), Crowdstrike Falcon</t>
  </si>
  <si>
    <t>Google Workspace, Okta, Azure AD, Confluence, Zoom, OneLogin, AWS Management Console (IAM), Sentry, Atlassian Admin, Smartsheet, Google Workspace (Service Account), Sumo Logic, Aha!, Outreach, Auth0, DocuSign, Pluralsight Skills, Salesforce (Form Based), LastPass, Appfigures, Tableau, Codefresh, Jira, Document360, Zendesk, Pipedrive, ServiceNow, Jira Self Hosted, Confluence Self Hosted, BambooHR, LogMeIn Central, Fivetran, Salesforce (OAuth), Runscope, CheckPoint Infinity, Miro, Miro Enterprise, Informatica, Splunk Cloud, Qualys Cloud Platform, Looker, UKG Pro, Jetbrains, Miro Custom, Salesforce-V2, Imperva, Alchemer, Snipe-IT, HackerOne, Preset (Custom), Dialpad, Detectify, Kisi, Make, Zoom Custom, Azure AD (Machine to Machine), Okta (Machine to Machine), Crowdstrike Falcon, Torq</t>
  </si>
  <si>
    <t>Microsoft 365, Cisco Webex Meetings, Microsoft Teams, Bonusly, Heroku, TeamViewer, Statuspage, SalesLoft, ClickUp, Egnyte, SendBird, Calendly, Freshbooks, Freshdesk, LaunchDarkly, Atera, Canny, Snowflake, JustCall, SAP Concur, Infinipoint Custom, Anodot</t>
  </si>
  <si>
    <t>Azure AD, Confluence, Smartsheet, Sumo Logic, Aha!, DocuSign, Jira, ServiceNow, Jira Self Hosted, Confluence Self Hosted, BambooHR, LogMeIn Central, Runscope, Miro, Miro Enterprise, Splunk Cloud, Looker, UKG Pro, Jetbrains, Miro Custom, Imperva, HackerOne, Dialpad, Detectify, Kisi, Make, Zoom Custom, Torq</t>
  </si>
  <si>
    <t>Activity Information</t>
  </si>
  <si>
    <t>Google Workspace, Okta, Slack, Azure AD, Zoom, Dropbox, Box, Freshchat, Bitbucket, Bonusly, MongoDB, Google Workspace (Service Account), Slack Enterprise, Auth0, SalesLoft, Jamf Pro, Salesforce (Form Based), SendBird, Crisp, PagerDuty, Intercom, Zendesk, Pipedrive, Freshbooks, Basecamp, BambooHR, Stripe Connect, Salesforce (OAuth), LaunchDarkly, Runscope, Miro Enterprise, Splunk Cloud, SAP Concur, Salesforce-V2, Figma, Ramp, MailerLite, Infinipoint Custom, Snipe-IT, Dialpad, DNSimple, Kisi, Workday Custom, Cisco Umbrella V2, Zoom Custom, Azure AD (Machine to Machine), Okta (Machine to Machine), Workato, Torq</t>
  </si>
  <si>
    <t>Google Workspace, Okta, Slack, GitHub, Todoist, Azure AD, Confluence, Asana, Zoom, Dropbox, Box, OneLogin, AWS Management Console (IAM), Google Cloud Platform, Wrike, Microsoft 365, Atlassian Admin, Bitbucket, Cisco Webex Meetings, Microsoft Teams, Bonusly, Google Workspace (Service Account), Sumo Logic, Zeplin, Keap (formerly Infusionsoft), Aha!, Microsoft Cloud App Security, Delighted, DOMO, Slack Enterprise, Netlify, Auth0, DocuSign, ClickUp, Jamf Pro, LastPass, Appfigures, Tableau, Codefresh, Jira, monday.com, PagerDuty, Trello, Intercom, Zendesk, JumpCloud, Pipedrive, Calendly, Freshservice, Azure DevOps, Freshdesk, HubSpot CRM - Legacy, ServiceNow, Jira Self Hosted, Confluence Self Hosted, BambooHR, Cisco Meraki, Fivetran, Site24x7, LaunchDarkly, Afi SaaS Backup, Atera, CheckPoint Infinity, Miro, Miro Enterprise, Informatica, Qualys Cloud Platform, HubSpot CRM Oauth, Looker, Time Doctor, Coda, Linear, Asana Enterprise, Frame.io, Microsoft Intune, Jetbrains, Miro Custom, Imperva, Infinipoint Custom, GitHub Enterprise, Anodot, Snipe-IT, HackerOne, Preset (Custom), Dialpad, Grafana, Make, Cisco Umbrella V2, Zoom Custom, Azure AD (Machine to Machine), Okta (Machine to Machine), Workato, Torq, Imply</t>
  </si>
  <si>
    <t>Freshchat, MongoDB, SalesLoft, Salesforce (Form Based), SendBird, Crisp, Freshbooks, Basecamp, Stripe Connect, Salesforce (OAuth), Runscope, Splunk Cloud, SAP Concur, Salesforce-V2, Figma, Ramp, MailerLite, DNSimple, Kisi, Workday Custom</t>
  </si>
  <si>
    <t>GitHub, Todoist, Confluence, Asana, OneLogin, AWS Management Console (IAM), Google Cloud Platform, Wrike, Microsoft 365, Atlassian Admin, Cisco Webex Meetings, Microsoft Teams, Sumo Logic, Zeplin, Keap (formerly Infusionsoft), Aha!, Microsoft Cloud App Security, Delighted, DOMO, Netlify, DocuSign, ClickUp, LastPass, Appfigures, Tableau, Codefresh, Jira, monday.com, Trello, JumpCloud, Calendly, Freshservice, Azure DevOps, Freshdesk, HubSpot CRM - Legacy, ServiceNow, Jira Self Hosted, Confluence Self Hosted, Cisco Meraki, Fivetran, Site24x7, Afi SaaS Backup, Atera, CheckPoint Infinity, Miro, Informatica, Qualys Cloud Platform, HubSpot CRM Oauth, Looker, Time Doctor, Coda, Linear, Asana Enterprise, Frame.io, Microsoft Intune, Jetbrains, Miro Custom, Imperva, GitHub Enterprise, Anodot, HackerOne, Preset (Custom), Grafana, Make, Imply</t>
  </si>
  <si>
    <t>Sign in Information</t>
  </si>
  <si>
    <t>Google Workspace, Okta, Azure AD, Zoom, Sentry, Google Workspace (Service Account), Outreach, Auth0, Contentful, Salesforce (Form Based), SendBird, Salesforce (OAuth), Salesforce-V2, Azure AD (Machine to Machine), Okta (Machine to Machine)</t>
  </si>
  <si>
    <t>Google Workspace, Okta, Slack, Azure AD, Confluence, Asana, Zoom, Box, OneLogin, GitLab, Cloudflare, AWS Management Console (IAM), Sentry, Google Cloud Platform, Microsoft 365, Atlassian Admin, Cisco Webex Meetings, Microsoft Teams, Bonusly, NetSuite (Legacy), GitLab (Self Managed), Fireflies, Smartsheet, Google Workspace (Service Account), Fastly, Sumo Logic, Zeplin, Keap (formerly Infusionsoft), Bitwarden, Aha!, TeamViewer, Statuspage, DOMO, Slack Enterprise, Livestorm, Netlify, Outreach, Auth0, SalesLoft, DocuSign, Pluralsight Skills, ClickUp, Egnyte, Salesforce (Form Based), LastPass, Appfigures, Bugsnag, Tableau, Codefresh, SendBird, Jira, PagerDuty, Document360, Intercom, Zendesk, JumpCloud, Pipedrive, Opsgenie, Azure DevOps, Aircall, Freshdesk, HubSpot CRM - Legacy, ServiceNow, Jira Self Hosted, Confluence Self Hosted, BambooHR, PingIdentity, Cisco Meraki, LogMeIn Central, Fivetran, Salesforce (OAuth), Site24x7, Runscope, Atera, KnowBe4, Canny, CheckPoint Infinity, FireHydrant, Cloudflare (API Token), Miro, Miro Enterprise, Informatica, Splunk Cloud, Qualys Cloud Platform, HubSpot CRM Oauth, Looker, Kandji, Time Doctor, Coda, Linear, Frame.io, Lattice, NetSuite, Sage Intacct, Miro Custom, JustCall, Parsec, Salesforce-V2, Figma, Drata, Imperva, Alchemer, Infinipoint Custom, Anodot, Snipe-IT, HackerOne, Preset (Custom), Thinkst Canary, Dialpad, FOSSA, Culture Amp, Detectify, Printix, Astronomer, Kisi, Grafana, Make, Cisco Umbrella V2, Zoom Custom, Azure AD (Machine to Machine), Okta (Machine to Machine), Crowdstrike Falcon, Workato, Torq, Imply</t>
  </si>
  <si>
    <t>Contentful</t>
  </si>
  <si>
    <t>Slack, Confluence, Asana, Box, OneLogin, GitLab, Cloudflare, AWS Management Console (IAM), Google Cloud Platform, Microsoft 365, Atlassian Admin, Cisco Webex Meetings, Microsoft Teams, Bonusly, NetSuite (Legacy), GitLab (Self Managed), Fireflies, Smartsheet, Fastly, Sumo Logic, Zeplin, Keap (formerly Infusionsoft), Bitwarden, Aha!, TeamViewer, Statuspage, DOMO, Slack Enterprise, Livestorm, Netlify, SalesLoft, DocuSign, Pluralsight Skills, ClickUp, Egnyte, LastPass, Appfigures, Bugsnag, Tableau, Codefresh, Jira, PagerDuty, Document360, Intercom, Zendesk, JumpCloud, Pipedrive, Opsgenie, Azure DevOps, Aircall, Freshdesk, HubSpot CRM - Legacy, ServiceNow, Jira Self Hosted, Confluence Self Hosted, BambooHR, PingIdentity, Cisco Meraki, LogMeIn Central, Fivetran, Site24x7, Runscope, Atera, KnowBe4, Canny, CheckPoint Infinity, FireHydrant, Cloudflare (API Token), Miro, Miro Enterprise, Informatica, Splunk Cloud, Qualys Cloud Platform, HubSpot CRM Oauth, Looker, Kandji, Time Doctor, Coda, Linear, Frame.io, Lattice, NetSuite, Sage Intacct, Miro Custom, JustCall, Parsec, Figma, Drata, Imperva, Alchemer, Infinipoint Custom, Anodot, Snipe-IT, HackerOne, Preset (Custom), Thinkst Canary, Dialpad, FOSSA, Culture Amp, Detectify, Printix, Astronomer, Kisi, Grafana, Make, Cisco Umbrella V2, Zoom Custom, Crowdstrike Falcon, Workato, Torq, Imply</t>
  </si>
  <si>
    <t>License Information</t>
  </si>
  <si>
    <t>Google Workspace, Slack, Azure AD, Zoom, Microsoft 365, Adobe Creative Cloud, Atlassian Admin, Cisco Webex Meetings, Microsoft Teams, Google Workspace (Service Account), TeamViewer, Slack Enterprise, SalesLoft, Salesforce (Form Based), Tableau, monday.com, Zendesk, Freshservice, Salesforce (OAuth), Collibra, Miro Enterprise, Salesforce-V2, Lucid Scim, GitHub Enterprise, Snipe-IT, Adobe Creative Cloud V2, Dialpad, GitHub Copilot, Zoom Custom, Azure AD (Machine to Machine)</t>
  </si>
  <si>
    <t>Google Workspace, Okta, Slack, GitHub, Azure AD, Confluence, Asana, Zoom, Dropbox, Box, OneLogin, AWS Management Console (IAM), Wrike, Microsoft 365, Adobe Creative Cloud, Atlassian Admin, Bitbucket, Cisco Webex Meetings, Microsoft Teams, Smartsheet, Google Workspace (Service Account), Aha!, Notion, Freshteam, Slack Enterprise, Hibob HRIS, SalesLoft, Jamf Pro, Salesforce (Form Based), LastPass, Tableau, Jira, monday.com, PagerDuty, Trello, Intercom, Zendesk, JumpCloud, Pipedrive, Opsgenie, Freshservice, Freshdesk, Jira Self Hosted, Confluence Self Hosted, BambooHR, Salesforce (OAuth), GitKraken, LaunchDarkly, Collibra, Miro, Miro Enterprise, Looker, Coda, Asana Enterprise, Jetbrains, Miro Custom, Hibob - Service User, Salesforce-V2, Lucid Scim, Infinipoint Custom, GitHub Enterprise, Adobe Creative Cloud V2, Dialpad, GitHub Copilot, Zoom Custom, Azure AD (Machine to Machine), Okta (Machine to Machine)</t>
  </si>
  <si>
    <t>TeamViewer, Snipe-IT</t>
  </si>
  <si>
    <t>Okta, GitHub, Confluence, Asana, Dropbox, Box, OneLogin, AWS Management Console (IAM), Wrike, Bitbucket, Smartsheet, Aha!, Notion, Freshteam, Hibob HRIS, Jamf Pro, LastPass, Jira, PagerDuty, Trello, Intercom, JumpCloud, Pipedrive, Opsgenie, Freshdesk, Jira Self Hosted, Confluence Self Hosted, BambooHR, GitKraken, LaunchDarkly, Miro, Looker, Coda, Asana Enterprise, Jetbrains, Miro Custom, Hibob - Service User, Infinipoint Custom, Okta (Machine to Machine)</t>
  </si>
  <si>
    <t>Transaction</t>
  </si>
  <si>
    <t>Zoho Books, Intuit QuickBooks, Zoho Expense, NetSuite (Legacy), Freshbooks, Xero, Brex, NetSuite, Sage Intacct, SAP Concur</t>
  </si>
  <si>
    <t>Zoho Books, Intuit QuickBooks, Zoho Expense, AWS Management Console (IAM), NetSuite (Legacy), Xero, Brex, NetSuite, Sage Intacct, SAP Concur, Ramp</t>
  </si>
  <si>
    <t>Freshbooks</t>
  </si>
  <si>
    <t>AWS Management Console (IAM), Ramp</t>
  </si>
  <si>
    <t>User Personal Email</t>
  </si>
  <si>
    <t>LastPass, BambooHR, ADP Workers, Hibob - Service User, Keka, CornerStone</t>
  </si>
  <si>
    <t>User Name</t>
  </si>
  <si>
    <t>Google Workspace, Zoho Books, Okta, Slack, GitHub, Todoist, Azure AD, Confluence, Intuit QuickBooks, Asana, Zoom, Dropbox, Box, OneLogin, GitLab, Zoho Expense, Cloudflare, AWS Management Console (IAM), Sentry, Google Cloud Platform, Wrike, Zoho Analytics, Freshchat, Microsoft 365, Adobe Creative Cloud, Google Analytics, Atlassian Admin, Bitbucket, Cisco Webex Meetings, Microsoft Teams, Bonusly, Heroku, Google Ads, NetSuite (Legacy), GitLab (Self Managed), Zoho People, MongoDB, Fireflies, Smartsheet, WordPress, Google Workspace (Service Account), VictorOps, Fastly, EZOfficeInventory, Sumo Logic, Zeplin, Eventbrite, ShipStation, Keap (formerly Infusionsoft), Bitwarden, Aha!, Notion, TeamViewer, Microsoft Cloud App Security, Mixmax, Delighted, Freshteam, Statuspage, DOMO, Slack Enterprise, Livestorm, Netlify, Outreach, Lokalise, Auth0, Sophos Central, Hibob HRIS, SalesLoft, Avalara, DocuSign, Pluralsight Skills, Harvest, Shutterstock, GanttPRO, Kissflow, Zulip, Hexnode MDM, Clockify, ClickUp, Contentful, Cockpit CMS, Hunter, Acuity Scheduling, Certify Expense, TalentLMS, Egnyte, Linode, Help Scout, Jamf Pro, Everhour, Float, Salesforce (Form Based), LastPass, SonarCloud, Appfigures, Bugsnag, Tableau, Codefresh, SendBird, bexio, Crisp, Jira, monday.com, PagerDuty, Document360, Trello, Intercom, Zendesk, JumpCloud, SendGrid, Pipedrive, Opsgenie, Calendly, Datadog APM, ActiveCampaign, Zoho Desk, Freshservice, Azure DevOps, Aircall, Zoho Crm, Freshbooks, Basecamp, TestRail, Freshdesk, Xero, Gong, HubSpot CRM - Legacy, ServiceNow, Jira Self Hosted, Confluence Self Hosted, BambooHR, Rollbar, PingIdentity, Digicert, Pingdom, Cisco Meraki, 15Five, LogMeIn Central, Stripe Connect, Apollo.io, Fivetran, GreenHouse, Salesforce (OAuth), SauceLabs, Site24x7, Hello Sign, GitKraken, Logz.io, PersonioHR, LaunchDarkly, Brex, Optimizely, Runscope, Sentry - API Key, Afi SaaS Backup, Freshwork Crm, Mixpanel, Atera, Collibra, 1Password, KnowBe4, Canny, CheckPoint Infinity, Google Play Store, FireHydrant, Cloudflare (API Token), Miro, Miro Enterprise, Informatica, Qualtrics Core XM, Envoy, New Relic APM, Splunk Cloud, ConfigCat, DBT cloud, Paperspace, NinjaRMM, Postmark, Microsoft Azure, Teamwork, SuccessFactors, Qualys Cloud Platform, HubSpot CRM Oauth, Productboard, TravelPerk, Automox, Perimeter 81, Looker, Zenduty, Workable, Snowflake, Adobe Sign, Kandji, ScheduleOnce, Spot by Net App, Teamtailor, Time Doctor, Coda, Linear, Asana Enterprise, Frame.io, Lattice, NetSuite, Wufoo, Microsoft Intune, Guru, Jira Service Desk, CoderPad, UKG Pro, Front, ADP Workers, Jetbrains, Lucid, Sage Intacct, Miro Custom, Zscaler, SurveyMonkey, Hibob - Service User, JustCall, Airtable, Parsec, Marketo, SAP Concur, BlogIn, Loopio, Keka, Salesforce-V2, Apple App Store Connect, Amplitude, Figma, Workday (Custom), Harness, Drata, Imperva, Lessonly, Vercel, Coupa, Ramp, Databricks, Microsoft Intune V2, AWS Identity Center , Alchemer, Lucid Scim, Typeform, MailerLite, Infinipoint Custom, GitHub Enterprise, Segment, Anodot, Docker Hub, Honeybadger, Brevo, Snipe-IT, 360Learning, HackerOne, Keeper, Adobe Creative Cloud V2, Preset (Custom), Thinkst Canary, Snyk, Dialpad, Workday Oauth, Ironclad, SpotDraft, DNSimple, FOSSA, Culture Amp, Detectify, Worksuite, FullStory, Checkr, Grammarly Business, Printix, EvaluAgent, Astronomer, Kisi, Qase, Grafana, Make, AppNexus, GitHub Copilot, Rippling Api-key, Workday Custom, Cisco Umbrella V2, Bill Spends &amp; Expense, Zoom Custom, Azure AD (Machine to Machine), Okta (Machine to Machine), CornerStone, Crowdstrike Falcon, Workato, AppFollow(V2), CyberArk Identity, Torq, Imply</t>
  </si>
  <si>
    <t>User Username</t>
  </si>
  <si>
    <t>Okta, GitHub, OneLogin, GitLab, AWS Management Console (IAM), Adobe Creative Cloud, Microsoft Teams, GitLab (Self Managed), Zeplin, Shutterstock, Egnyte, Linode, Jamf Pro, SonarCloud, Trello, Rollbar, GitKraken, Mixpanel, Qualys Cloud Platform, UKG Pro, Vercel, Alchemer, GitHub Enterprise, Adobe Creative Cloud V2, GitHub Copilot</t>
  </si>
  <si>
    <t>User Reporting Manager Email</t>
  </si>
  <si>
    <t>Google Workspace, Okta, Azure AD, OneLogin, Zoho People, Google Workspace (Service Account), Freshteam, Hibob HRIS, JumpCloud, BambooHR, PingIdentity, PersonioHR, SuccessFactors, Lattice, ADP Workers, Hibob - Service User, Keka, Workday (Custom), Lessonly, Ramp, Snipe-IT, Workday Oauth, Rippling Api-key, Workday Custom, Azure AD (Machine to Machine), Okta (Machine to Machine)</t>
  </si>
  <si>
    <t>User Cost Center</t>
  </si>
  <si>
    <t>Google Workspace, Okta, Google Workspace (Service Account), JumpCloud, PersonioHR, Keka, Workday (Custom), Workday Custom, Okta (Machine to Machine)</t>
  </si>
  <si>
    <t>User Cost Center Code</t>
  </si>
  <si>
    <t>Okta, Workday Custom, Okta (Machine to Machine)</t>
  </si>
  <si>
    <t>User Business Unit</t>
  </si>
  <si>
    <t>Okta, Keka, Workday (Custom), Okta (Machine to Machine)</t>
  </si>
  <si>
    <t>User Location</t>
  </si>
  <si>
    <t>Azure AD, Hibob HRIS, Qualys Cloud Platform, Hibob - Service User, Workday (Custom), Adobe Creative Cloud V2, Azure AD (Machine to Machine)</t>
  </si>
  <si>
    <t>User Date of Joining</t>
  </si>
  <si>
    <t>Intuit QuickBooks, NetSuite (Legacy), Zoho People, Freshteam, Hibob HRIS, BambooHR, PingIdentity, PersonioHR, KnowBe4, SuccessFactors, Zenduty, Lattice, NetSuite, ADP Workers, Hibob - Service User, Keka, Workday (Custom), Drata, Lessonly, Snipe-IT, FOSSA, Culture Amp, CornerStone</t>
  </si>
  <si>
    <t>User Date of Termination</t>
  </si>
  <si>
    <t>Freshteam, Hibob HRIS, Hibob - Service User</t>
  </si>
  <si>
    <t>User Alternate Emails</t>
  </si>
  <si>
    <t>Google Workspace, Okta, Slack, Azure AD, Zoom, OneLogin, Microsoft 365, Adobe Creative Cloud, Atlassian Admin, Bitbucket, Zoho People, Smartsheet, Google Workspace (Service Account), Keap (formerly Infusionsoft), Bitwarden, Hibob HRIS, SalesLoft, Tableau, Jira, Zendesk, JumpCloud, Pipedrive, Freshdesk, Jira Self Hosted, GitKraken, KnowBe4, Hibob - Service User, Infinipoint Custom, Adobe Creative Cloud V2, Dialpad, GitHub Copilot, Zoom Custom, Azure AD (Machine to Machine), Okta (Machine to Machine)</t>
  </si>
  <si>
    <t>Application</t>
  </si>
  <si>
    <t>Google Workspace, Okta, Azure AD, OneLogin, Auth0, JumpCloud, PingIdentity, Azure AD (Machine to Machine), Okta (Machine to Machine)</t>
  </si>
  <si>
    <t>Last active at</t>
  </si>
  <si>
    <t>Azure AD, Confluence, Zoom, OneLogin, AWS Management Console (IAM), Sentry, Microsoft 365, Atlassian Admin, Cisco Webex Meetings, Microsoft Teams, Bonusly, Google Workspace (Service Account), Fastly, Zeplin, Aha!, TeamViewer, Delighted, Netlify, DocuSign, ClickUp, Egnyte, Jamf Pro, Appfigures, Bugsnag, Jira, monday.com, Freshservice, Freshdesk, Jira Self Hosted, Confluence Self Hosted, Cisco Meraki, LaunchDarkly, Canny, Miro, Miro Enterprise, Time Doctor, Coda, Frame.io, Jetbrains, Miro Custom, Parsec, Infinipoint Custom, GitHub Enterprise, Anodot, Dialpad, Kisi, Zoom Custom, Azure AD (Machine to Machine), Okta (Machine to Machine), Workato</t>
  </si>
  <si>
    <t>Last Seen at</t>
  </si>
  <si>
    <t>Azure AD, OneLogin, AWS Management Console (IAM), Zeplin, Aha!, Jamf Pro, SendBird, Zendesk, LaunchDarkly, Time Doctor, Linear, Frame.io, Jetbrains, Grafana, Azure AD (Machine to Machine), Okta (Machine to Machine)</t>
  </si>
  <si>
    <t>Vendor</t>
  </si>
  <si>
    <t>Slack, GitHub, Asana, Zoom, Dropbox, AWS Management Console (IAM), Adobe Creative Cloud, Atlassian Admin, Bitbucket, Aha!, Notion, Slack Enterprise, SalesLoft, Salesforce (Form Based), Tableau, Jira, Intercom, Zendesk, Pipedrive, Freshservice, Freshdesk, Xero, Jira Self Hosted, BambooHR, Salesforce (OAuth), GitKraken, LaunchDarkly, Collibra, Miro, Miro Enterprise, Looker, NetSuite, Jetbrains, Miro Custom, Salesforce-V2, Coupa, Ramp, Adobe Creative Cloud V2, Zip Hq, GitHub Copilot, Zoom Custom</t>
  </si>
  <si>
    <t>Payment Methods</t>
  </si>
  <si>
    <t>Ramp</t>
  </si>
  <si>
    <t>Contract</t>
  </si>
  <si>
    <t>Coupa, Ironclad, Zip Hq</t>
  </si>
  <si>
    <t>Domains</t>
  </si>
  <si>
    <t>Google Workspace, Okta, Azure AD, Cisco Webex Meetings, Google Workspace (Service Account), Sophos Central, Zoho Crm, DBT cloud, Postmark, Adobe Creative Cloud V2, GitHub Copilot, Azure AD (Machine to Machine), Okta (Machine to Machine)</t>
  </si>
  <si>
    <t>Old accuracy =</t>
  </si>
  <si>
    <t>New capabilities added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</si>
</sst>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0" fontId="1" numFmtId="0" xfId="0" applyAlignment="1" applyFont="1">
      <alignment vertical="top"/>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10" xfId="0" applyFont="1" applyNumberFormat="1"/>
    <xf borderId="0" fillId="0" fontId="1"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s>
  <tableStyles count="1">
    <tableStyle count="5" pivot="0" name="Sheet1-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J32" displayName="Table1" name="Table1" id="1">
  <tableColumns count="10">
    <tableColumn name="Capability" id="1"/>
    <tableColumn totalsRowFunction="custom" name="Old Count" id="2"/>
    <tableColumn totalsRowFunction="custom" name="New Count" id="3"/>
    <tableColumn name="Difference" id="4"/>
    <tableColumn totalsRowFunction="custom" name="Old To New Difference_x000a__x000a_Incorrect capabilities" id="5"/>
    <tableColumn totalsRowFunction="custom" name="New To Old Difference_x000a__x000a_Unlocked new visibility (capabilities which were present but not shown)" id="6"/>
    <tableColumn name="Old Integrations" id="7"/>
    <tableColumn name="New Integrations" id="8"/>
    <tableColumn name="Old Integrations - New Integrations" id="9"/>
    <tableColumn name="New Integrations - Old Integrations"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16.88"/>
    <col customWidth="1" min="3" max="3" width="24.75"/>
    <col customWidth="1" min="4" max="4" width="20.0"/>
    <col customWidth="1" min="5" max="6" width="25.25"/>
    <col customWidth="1" min="7" max="7" width="30.13"/>
    <col customWidth="1" min="8" max="8" width="31.88"/>
    <col customWidth="1" min="9" max="9" width="32.88"/>
    <col customWidth="1" min="10" max="10" width="32.0"/>
  </cols>
  <sheetData>
    <row r="1" ht="22.5" customHeight="1">
      <c r="A1" s="1" t="s">
        <v>0</v>
      </c>
      <c r="B1" s="1" t="s">
        <v>1</v>
      </c>
      <c r="C1" s="1" t="s">
        <v>2</v>
      </c>
      <c r="D1" s="1" t="s">
        <v>3</v>
      </c>
      <c r="E1" s="1" t="s">
        <v>4</v>
      </c>
      <c r="F1" s="2" t="s">
        <v>5</v>
      </c>
      <c r="G1" s="1" t="s">
        <v>6</v>
      </c>
      <c r="H1" s="1" t="s">
        <v>7</v>
      </c>
      <c r="I1" s="1" t="s">
        <v>8</v>
      </c>
      <c r="J1" s="1" t="s">
        <v>9</v>
      </c>
      <c r="K1" s="3"/>
      <c r="L1" s="3"/>
      <c r="M1" s="3"/>
      <c r="N1" s="3"/>
      <c r="O1" s="3"/>
      <c r="P1" s="3"/>
      <c r="Q1" s="3"/>
      <c r="R1" s="3"/>
      <c r="S1" s="3"/>
      <c r="T1" s="3"/>
      <c r="U1" s="3"/>
      <c r="V1" s="3"/>
      <c r="W1" s="3"/>
      <c r="X1" s="3"/>
      <c r="Y1" s="3"/>
      <c r="Z1" s="3"/>
    </row>
    <row r="2" ht="22.5" customHeight="1">
      <c r="A2" s="4" t="s">
        <v>10</v>
      </c>
      <c r="B2" s="4">
        <v>257.0</v>
      </c>
      <c r="C2" s="4">
        <v>294.0</v>
      </c>
      <c r="D2" s="4">
        <v>37.0</v>
      </c>
      <c r="E2" s="4">
        <v>1.0</v>
      </c>
      <c r="F2" s="4">
        <v>38.0</v>
      </c>
      <c r="G2" s="4" t="s">
        <v>11</v>
      </c>
      <c r="H2" s="4" t="s">
        <v>12</v>
      </c>
      <c r="I2" s="4" t="s">
        <v>13</v>
      </c>
      <c r="J2" s="4" t="s">
        <v>14</v>
      </c>
    </row>
    <row r="3" ht="22.5" customHeight="1">
      <c r="A3" s="4" t="s">
        <v>15</v>
      </c>
      <c r="B3" s="4">
        <v>126.0</v>
      </c>
      <c r="C3" s="4">
        <v>280.0</v>
      </c>
      <c r="D3" s="4">
        <v>154.0</v>
      </c>
      <c r="E3" s="4">
        <v>2.0</v>
      </c>
      <c r="F3" s="4">
        <v>156.0</v>
      </c>
      <c r="G3" s="4" t="s">
        <v>16</v>
      </c>
      <c r="H3" s="4" t="s">
        <v>17</v>
      </c>
      <c r="I3" s="4" t="s">
        <v>18</v>
      </c>
      <c r="J3" s="4" t="s">
        <v>19</v>
      </c>
    </row>
    <row r="4" ht="22.5" customHeight="1">
      <c r="A4" s="4" t="s">
        <v>20</v>
      </c>
      <c r="B4" s="4">
        <v>24.0</v>
      </c>
      <c r="C4" s="4">
        <v>78.0</v>
      </c>
      <c r="D4" s="4">
        <v>54.0</v>
      </c>
      <c r="E4" s="4">
        <v>6.0</v>
      </c>
      <c r="F4" s="4">
        <v>60.0</v>
      </c>
      <c r="G4" s="4" t="s">
        <v>21</v>
      </c>
      <c r="H4" s="4" t="s">
        <v>22</v>
      </c>
      <c r="I4" s="4" t="s">
        <v>23</v>
      </c>
      <c r="J4" s="4" t="s">
        <v>24</v>
      </c>
    </row>
    <row r="5" ht="22.5" customHeight="1">
      <c r="A5" s="4" t="s">
        <v>25</v>
      </c>
      <c r="B5" s="4">
        <v>17.0</v>
      </c>
      <c r="C5" s="4">
        <v>38.0</v>
      </c>
      <c r="D5" s="4">
        <v>21.0</v>
      </c>
      <c r="E5" s="4">
        <v>8.0</v>
      </c>
      <c r="F5" s="4">
        <v>29.0</v>
      </c>
      <c r="G5" s="4" t="s">
        <v>26</v>
      </c>
      <c r="H5" s="4" t="s">
        <v>27</v>
      </c>
      <c r="I5" s="4" t="s">
        <v>28</v>
      </c>
      <c r="J5" s="4" t="s">
        <v>29</v>
      </c>
    </row>
    <row r="6" ht="22.5" customHeight="1">
      <c r="A6" s="4" t="s">
        <v>30</v>
      </c>
      <c r="B6" s="4">
        <v>33.0</v>
      </c>
      <c r="C6" s="4">
        <v>32.0</v>
      </c>
      <c r="D6" s="4">
        <v>-1.0</v>
      </c>
      <c r="E6" s="4">
        <v>20.0</v>
      </c>
      <c r="F6" s="4">
        <v>19.0</v>
      </c>
      <c r="G6" s="4" t="s">
        <v>31</v>
      </c>
      <c r="H6" s="4" t="s">
        <v>32</v>
      </c>
      <c r="I6" s="4" t="s">
        <v>33</v>
      </c>
      <c r="J6" s="4" t="s">
        <v>34</v>
      </c>
    </row>
    <row r="7" ht="22.5" customHeight="1">
      <c r="A7" s="4" t="s">
        <v>35</v>
      </c>
      <c r="B7" s="4">
        <v>125.0</v>
      </c>
      <c r="C7" s="4">
        <v>115.0</v>
      </c>
      <c r="D7" s="4">
        <v>-10.0</v>
      </c>
      <c r="E7" s="4">
        <v>53.0</v>
      </c>
      <c r="F7" s="4">
        <v>43.0</v>
      </c>
      <c r="G7" s="4" t="s">
        <v>36</v>
      </c>
      <c r="H7" s="4" t="s">
        <v>37</v>
      </c>
      <c r="I7" s="4" t="s">
        <v>38</v>
      </c>
      <c r="J7" s="4" t="s">
        <v>39</v>
      </c>
    </row>
    <row r="8" ht="22.5" customHeight="1">
      <c r="A8" s="4" t="s">
        <v>40</v>
      </c>
      <c r="B8" s="4">
        <v>22.0</v>
      </c>
      <c r="C8" s="4">
        <v>15.0</v>
      </c>
      <c r="D8" s="4">
        <v>-7.0</v>
      </c>
      <c r="E8" s="4">
        <v>14.0</v>
      </c>
      <c r="F8" s="4">
        <v>7.0</v>
      </c>
      <c r="G8" s="4" t="s">
        <v>41</v>
      </c>
      <c r="H8" s="4" t="s">
        <v>42</v>
      </c>
      <c r="I8" s="4" t="s">
        <v>43</v>
      </c>
      <c r="J8" s="4" t="s">
        <v>44</v>
      </c>
    </row>
    <row r="9" ht="22.5" customHeight="1">
      <c r="A9" s="4" t="s">
        <v>45</v>
      </c>
      <c r="B9" s="4">
        <v>53.0</v>
      </c>
      <c r="C9" s="4">
        <v>59.0</v>
      </c>
      <c r="D9" s="4">
        <v>6.0</v>
      </c>
      <c r="E9" s="4">
        <v>22.0</v>
      </c>
      <c r="F9" s="4">
        <v>28.0</v>
      </c>
      <c r="G9" s="4" t="s">
        <v>46</v>
      </c>
      <c r="H9" s="4" t="s">
        <v>47</v>
      </c>
      <c r="I9" s="4" t="s">
        <v>48</v>
      </c>
      <c r="J9" s="4" t="s">
        <v>49</v>
      </c>
    </row>
    <row r="10" ht="22.5" customHeight="1">
      <c r="A10" s="4" t="s">
        <v>50</v>
      </c>
      <c r="B10" s="4">
        <v>49.0</v>
      </c>
      <c r="C10" s="4">
        <v>94.0</v>
      </c>
      <c r="D10" s="4">
        <v>45.0</v>
      </c>
      <c r="E10" s="4">
        <v>20.0</v>
      </c>
      <c r="F10" s="4">
        <v>65.0</v>
      </c>
      <c r="G10" s="4" t="s">
        <v>51</v>
      </c>
      <c r="H10" s="4" t="s">
        <v>52</v>
      </c>
      <c r="I10" s="4" t="s">
        <v>53</v>
      </c>
      <c r="J10" s="4" t="s">
        <v>54</v>
      </c>
    </row>
    <row r="11" ht="22.5" customHeight="1">
      <c r="A11" s="4" t="s">
        <v>55</v>
      </c>
      <c r="B11" s="4">
        <v>15.0</v>
      </c>
      <c r="C11" s="4">
        <v>125.0</v>
      </c>
      <c r="D11" s="4">
        <v>110.0</v>
      </c>
      <c r="E11" s="4">
        <v>1.0</v>
      </c>
      <c r="F11" s="4">
        <v>111.0</v>
      </c>
      <c r="G11" s="4" t="s">
        <v>56</v>
      </c>
      <c r="H11" s="4" t="s">
        <v>57</v>
      </c>
      <c r="I11" s="4" t="s">
        <v>58</v>
      </c>
      <c r="J11" s="4" t="s">
        <v>59</v>
      </c>
    </row>
    <row r="12" ht="22.5" customHeight="1">
      <c r="A12" s="4" t="s">
        <v>60</v>
      </c>
      <c r="B12" s="4">
        <v>30.0</v>
      </c>
      <c r="C12" s="4">
        <v>67.0</v>
      </c>
      <c r="D12" s="4">
        <v>37.0</v>
      </c>
      <c r="E12" s="4">
        <v>2.0</v>
      </c>
      <c r="F12" s="4">
        <v>39.0</v>
      </c>
      <c r="G12" s="4" t="s">
        <v>61</v>
      </c>
      <c r="H12" s="4" t="s">
        <v>62</v>
      </c>
      <c r="I12" s="4" t="s">
        <v>63</v>
      </c>
      <c r="J12" s="4" t="s">
        <v>64</v>
      </c>
    </row>
    <row r="13" ht="22.5" customHeight="1">
      <c r="A13" s="4" t="s">
        <v>65</v>
      </c>
      <c r="B13" s="4">
        <v>10.0</v>
      </c>
      <c r="C13" s="4">
        <v>11.0</v>
      </c>
      <c r="D13" s="4">
        <v>1.0</v>
      </c>
      <c r="E13" s="4">
        <v>1.0</v>
      </c>
      <c r="F13" s="4">
        <v>2.0</v>
      </c>
      <c r="G13" s="4" t="s">
        <v>66</v>
      </c>
      <c r="H13" s="4" t="s">
        <v>67</v>
      </c>
      <c r="I13" s="4" t="s">
        <v>68</v>
      </c>
      <c r="J13" s="4" t="s">
        <v>69</v>
      </c>
    </row>
    <row r="14" ht="22.5" customHeight="1">
      <c r="A14" s="4" t="s">
        <v>70</v>
      </c>
      <c r="B14" s="4">
        <v>0.0</v>
      </c>
      <c r="C14" s="4">
        <v>6.0</v>
      </c>
      <c r="D14" s="4">
        <v>6.0</v>
      </c>
      <c r="E14" s="4">
        <v>0.0</v>
      </c>
      <c r="F14" s="4">
        <v>6.0</v>
      </c>
      <c r="G14" s="5"/>
      <c r="H14" s="4" t="s">
        <v>71</v>
      </c>
      <c r="I14" s="5"/>
      <c r="J14" s="4" t="s">
        <v>71</v>
      </c>
    </row>
    <row r="15" ht="22.5" customHeight="1">
      <c r="A15" s="4" t="s">
        <v>72</v>
      </c>
      <c r="B15" s="4">
        <v>0.0</v>
      </c>
      <c r="C15" s="4">
        <v>295.0</v>
      </c>
      <c r="D15" s="4">
        <v>295.0</v>
      </c>
      <c r="E15" s="4">
        <v>0.0</v>
      </c>
      <c r="F15" s="4">
        <v>295.0</v>
      </c>
      <c r="G15" s="5"/>
      <c r="H15" s="4" t="s">
        <v>73</v>
      </c>
      <c r="I15" s="5"/>
      <c r="J15" s="4" t="s">
        <v>73</v>
      </c>
    </row>
    <row r="16" ht="22.5" customHeight="1">
      <c r="A16" s="4" t="s">
        <v>74</v>
      </c>
      <c r="B16" s="4">
        <v>0.0</v>
      </c>
      <c r="C16" s="4">
        <v>25.0</v>
      </c>
      <c r="D16" s="4">
        <v>25.0</v>
      </c>
      <c r="E16" s="4">
        <v>0.0</v>
      </c>
      <c r="F16" s="4">
        <v>25.0</v>
      </c>
      <c r="G16" s="5"/>
      <c r="H16" s="4" t="s">
        <v>75</v>
      </c>
      <c r="I16" s="5"/>
      <c r="J16" s="4" t="s">
        <v>75</v>
      </c>
    </row>
    <row r="17" ht="22.5" customHeight="1">
      <c r="A17" s="4" t="s">
        <v>76</v>
      </c>
      <c r="B17" s="4">
        <v>0.0</v>
      </c>
      <c r="C17" s="4">
        <v>26.0</v>
      </c>
      <c r="D17" s="4">
        <v>26.0</v>
      </c>
      <c r="E17" s="4">
        <v>0.0</v>
      </c>
      <c r="F17" s="4">
        <v>26.0</v>
      </c>
      <c r="G17" s="5"/>
      <c r="H17" s="4" t="s">
        <v>77</v>
      </c>
      <c r="I17" s="5"/>
      <c r="J17" s="4" t="s">
        <v>77</v>
      </c>
    </row>
    <row r="18" ht="22.5" customHeight="1">
      <c r="A18" s="4" t="s">
        <v>78</v>
      </c>
      <c r="B18" s="4">
        <v>0.0</v>
      </c>
      <c r="C18" s="4">
        <v>9.0</v>
      </c>
      <c r="D18" s="4">
        <v>9.0</v>
      </c>
      <c r="E18" s="4">
        <v>0.0</v>
      </c>
      <c r="F18" s="4">
        <v>9.0</v>
      </c>
      <c r="G18" s="5"/>
      <c r="H18" s="4" t="s">
        <v>79</v>
      </c>
      <c r="I18" s="5"/>
      <c r="J18" s="4" t="s">
        <v>79</v>
      </c>
    </row>
    <row r="19" ht="22.5" customHeight="1">
      <c r="A19" s="4" t="s">
        <v>80</v>
      </c>
      <c r="B19" s="4">
        <v>0.0</v>
      </c>
      <c r="C19" s="4">
        <v>3.0</v>
      </c>
      <c r="D19" s="4">
        <v>3.0</v>
      </c>
      <c r="E19" s="4">
        <v>0.0</v>
      </c>
      <c r="F19" s="4">
        <v>3.0</v>
      </c>
      <c r="G19" s="5"/>
      <c r="H19" s="4" t="s">
        <v>81</v>
      </c>
      <c r="I19" s="5"/>
      <c r="J19" s="4" t="s">
        <v>81</v>
      </c>
    </row>
    <row r="20" ht="22.5" customHeight="1">
      <c r="A20" s="4" t="s">
        <v>82</v>
      </c>
      <c r="B20" s="4">
        <v>0.0</v>
      </c>
      <c r="C20" s="4">
        <v>4.0</v>
      </c>
      <c r="D20" s="4">
        <v>4.0</v>
      </c>
      <c r="E20" s="4">
        <v>0.0</v>
      </c>
      <c r="F20" s="4">
        <v>4.0</v>
      </c>
      <c r="G20" s="5"/>
      <c r="H20" s="4" t="s">
        <v>83</v>
      </c>
      <c r="I20" s="5"/>
      <c r="J20" s="4" t="s">
        <v>83</v>
      </c>
    </row>
    <row r="21" ht="22.5" customHeight="1">
      <c r="A21" s="4" t="s">
        <v>84</v>
      </c>
      <c r="B21" s="4">
        <v>0.0</v>
      </c>
      <c r="C21" s="4">
        <v>7.0</v>
      </c>
      <c r="D21" s="4">
        <v>7.0</v>
      </c>
      <c r="E21" s="4">
        <v>0.0</v>
      </c>
      <c r="F21" s="4">
        <v>7.0</v>
      </c>
      <c r="G21" s="5"/>
      <c r="H21" s="4" t="s">
        <v>85</v>
      </c>
      <c r="I21" s="5"/>
      <c r="J21" s="4" t="s">
        <v>85</v>
      </c>
    </row>
    <row r="22" ht="22.5" customHeight="1">
      <c r="A22" s="4" t="s">
        <v>86</v>
      </c>
      <c r="B22" s="4">
        <v>0.0</v>
      </c>
      <c r="C22" s="4">
        <v>23.0</v>
      </c>
      <c r="D22" s="4">
        <v>23.0</v>
      </c>
      <c r="E22" s="4">
        <v>0.0</v>
      </c>
      <c r="F22" s="4">
        <v>23.0</v>
      </c>
      <c r="G22" s="5"/>
      <c r="H22" s="4" t="s">
        <v>87</v>
      </c>
      <c r="I22" s="5"/>
      <c r="J22" s="4" t="s">
        <v>87</v>
      </c>
    </row>
    <row r="23" ht="22.5" customHeight="1">
      <c r="A23" s="4" t="s">
        <v>88</v>
      </c>
      <c r="B23" s="4">
        <v>0.0</v>
      </c>
      <c r="C23" s="4">
        <v>3.0</v>
      </c>
      <c r="D23" s="4">
        <v>3.0</v>
      </c>
      <c r="E23" s="4">
        <v>0.0</v>
      </c>
      <c r="F23" s="4">
        <v>3.0</v>
      </c>
      <c r="G23" s="5"/>
      <c r="H23" s="4" t="s">
        <v>89</v>
      </c>
      <c r="I23" s="5"/>
      <c r="J23" s="4" t="s">
        <v>89</v>
      </c>
    </row>
    <row r="24" ht="22.5" customHeight="1">
      <c r="A24" s="4" t="s">
        <v>90</v>
      </c>
      <c r="B24" s="4">
        <v>0.0</v>
      </c>
      <c r="C24" s="4">
        <v>34.0</v>
      </c>
      <c r="D24" s="4">
        <v>34.0</v>
      </c>
      <c r="E24" s="4">
        <v>0.0</v>
      </c>
      <c r="F24" s="4">
        <v>34.0</v>
      </c>
      <c r="G24" s="5"/>
      <c r="H24" s="4" t="s">
        <v>91</v>
      </c>
      <c r="I24" s="5"/>
      <c r="J24" s="4" t="s">
        <v>91</v>
      </c>
    </row>
    <row r="25" ht="22.5" customHeight="1">
      <c r="A25" s="4" t="s">
        <v>92</v>
      </c>
      <c r="B25" s="4">
        <v>0.0</v>
      </c>
      <c r="C25" s="4">
        <v>9.0</v>
      </c>
      <c r="D25" s="4">
        <v>9.0</v>
      </c>
      <c r="E25" s="4">
        <v>0.0</v>
      </c>
      <c r="F25" s="4">
        <v>9.0</v>
      </c>
      <c r="G25" s="5"/>
      <c r="H25" s="4" t="s">
        <v>93</v>
      </c>
      <c r="I25" s="5"/>
      <c r="J25" s="4" t="s">
        <v>93</v>
      </c>
    </row>
    <row r="26" ht="22.5" customHeight="1">
      <c r="A26" s="4" t="s">
        <v>94</v>
      </c>
      <c r="B26" s="4">
        <v>0.0</v>
      </c>
      <c r="C26" s="4">
        <v>50.0</v>
      </c>
      <c r="D26" s="4">
        <v>50.0</v>
      </c>
      <c r="E26" s="4">
        <v>0.0</v>
      </c>
      <c r="F26" s="4">
        <v>50.0</v>
      </c>
      <c r="G26" s="5"/>
      <c r="H26" s="4" t="s">
        <v>95</v>
      </c>
      <c r="I26" s="5"/>
      <c r="J26" s="4" t="s">
        <v>95</v>
      </c>
    </row>
    <row r="27" ht="22.5" customHeight="1">
      <c r="A27" s="4" t="s">
        <v>96</v>
      </c>
      <c r="B27" s="4">
        <v>0.0</v>
      </c>
      <c r="C27" s="4">
        <v>16.0</v>
      </c>
      <c r="D27" s="4">
        <v>16.0</v>
      </c>
      <c r="E27" s="4">
        <v>0.0</v>
      </c>
      <c r="F27" s="4">
        <v>16.0</v>
      </c>
      <c r="G27" s="5"/>
      <c r="H27" s="4" t="s">
        <v>97</v>
      </c>
      <c r="I27" s="5"/>
      <c r="J27" s="4" t="s">
        <v>97</v>
      </c>
    </row>
    <row r="28" ht="22.5" customHeight="1">
      <c r="A28" s="4" t="s">
        <v>98</v>
      </c>
      <c r="B28" s="4">
        <v>0.0</v>
      </c>
      <c r="C28" s="4">
        <v>41.0</v>
      </c>
      <c r="D28" s="4">
        <v>41.0</v>
      </c>
      <c r="E28" s="4">
        <v>0.0</v>
      </c>
      <c r="F28" s="4">
        <v>41.0</v>
      </c>
      <c r="G28" s="5"/>
      <c r="H28" s="4" t="s">
        <v>99</v>
      </c>
      <c r="I28" s="5"/>
      <c r="J28" s="4" t="s">
        <v>99</v>
      </c>
    </row>
    <row r="29" ht="22.5" customHeight="1">
      <c r="A29" s="4" t="s">
        <v>100</v>
      </c>
      <c r="B29" s="4">
        <v>0.0</v>
      </c>
      <c r="C29" s="4">
        <v>1.0</v>
      </c>
      <c r="D29" s="4">
        <v>1.0</v>
      </c>
      <c r="E29" s="4">
        <v>0.0</v>
      </c>
      <c r="F29" s="4">
        <v>1.0</v>
      </c>
      <c r="G29" s="5"/>
      <c r="H29" s="4" t="s">
        <v>101</v>
      </c>
      <c r="I29" s="5"/>
      <c r="J29" s="4" t="s">
        <v>101</v>
      </c>
    </row>
    <row r="30" ht="22.5" customHeight="1">
      <c r="A30" s="4" t="s">
        <v>102</v>
      </c>
      <c r="B30" s="4">
        <v>0.0</v>
      </c>
      <c r="C30" s="4">
        <v>3.0</v>
      </c>
      <c r="D30" s="4">
        <v>3.0</v>
      </c>
      <c r="E30" s="4">
        <v>0.0</v>
      </c>
      <c r="F30" s="4">
        <v>3.0</v>
      </c>
      <c r="G30" s="5"/>
      <c r="H30" s="4" t="s">
        <v>103</v>
      </c>
      <c r="I30" s="5"/>
      <c r="J30" s="4" t="s">
        <v>103</v>
      </c>
    </row>
    <row r="31" ht="22.5" customHeight="1">
      <c r="A31" s="4" t="s">
        <v>104</v>
      </c>
      <c r="B31" s="4">
        <v>0.0</v>
      </c>
      <c r="C31" s="4">
        <v>13.0</v>
      </c>
      <c r="D31" s="4">
        <v>13.0</v>
      </c>
      <c r="E31" s="4">
        <v>0.0</v>
      </c>
      <c r="F31" s="4">
        <v>13.0</v>
      </c>
      <c r="G31" s="5"/>
      <c r="H31" s="4" t="s">
        <v>105</v>
      </c>
      <c r="I31" s="5"/>
      <c r="J31" s="4" t="s">
        <v>105</v>
      </c>
    </row>
    <row r="32" ht="22.5" customHeight="1">
      <c r="A32" s="6"/>
      <c r="B32" s="6">
        <f>SUM(Table1[Old Count])</f>
        <v>761</v>
      </c>
      <c r="C32" s="6">
        <f>SUM(Table1[New Count])</f>
        <v>1776</v>
      </c>
      <c r="D32" s="6"/>
      <c r="E32" s="6">
        <f>SUM(Table1[Old To New Difference
Incorrect capabilities])</f>
        <v>150</v>
      </c>
      <c r="F32" s="6">
        <f>SUM(Table1[New To Old Difference
Unlocked new visibility (capabilities which were present but not shown)])</f>
        <v>1165</v>
      </c>
      <c r="G32" s="7"/>
      <c r="H32" s="6"/>
      <c r="I32" s="7"/>
      <c r="J32" s="6"/>
    </row>
    <row r="33">
      <c r="D33" s="8" t="s">
        <v>106</v>
      </c>
      <c r="E33" s="9">
        <f>(Table1[[#TOTALS],[Old Count]]-Table1[[#TOTALS],[Old To New Difference
Incorrect capabilities]])/Table1[[#TOTALS],[Old Count]]</f>
        <v>0.802890933</v>
      </c>
    </row>
    <row r="34">
      <c r="D34" s="8" t="s">
        <v>107</v>
      </c>
      <c r="E34" s="10">
        <f>Table1[[#TOTALS],[New To Old Difference
Unlocked new visibility (capabilities which were present but not shown)]]</f>
        <v>1165</v>
      </c>
    </row>
  </sheetData>
  <drawing r:id="rId1"/>
  <tableParts count="1">
    <tablePart r:id="rId3"/>
  </tableParts>
</worksheet>
</file>
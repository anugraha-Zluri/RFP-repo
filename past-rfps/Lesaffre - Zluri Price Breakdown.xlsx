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scounted Pricing (Version 2 -" sheetId="1" r:id="rId4"/>
    <sheet state="visible" name="Initial Pricing shared (old)" sheetId="2" r:id="rId5"/>
  </sheets>
  <definedNames/>
  <calcPr/>
  <extLst>
    <ext uri="GoogleSheetsCustomDataVersion2">
      <go:sheetsCustomData xmlns:go="http://customooxmlschemas.google.com/" r:id="rId6" roundtripDataChecksum="ZFrc0wX9j2jZXNu5+NUCcLSDg1xtVj0I+cfqI4BwOUk="/>
    </ext>
  </extLst>
</workbook>
</file>

<file path=xl/sharedStrings.xml><?xml version="1.0" encoding="utf-8"?>
<sst xmlns="http://schemas.openxmlformats.org/spreadsheetml/2006/main" count="107" uniqueCount="21">
  <si>
    <t>Lesaffre Price for Zluri's SaaS Management Platform</t>
  </si>
  <si>
    <t>(Inclusive of all prices to the company, excluding taxes)</t>
  </si>
  <si>
    <t>Year 1 - Pricing</t>
  </si>
  <si>
    <t>Description</t>
  </si>
  <si>
    <t>List Price</t>
  </si>
  <si>
    <t>Duration</t>
  </si>
  <si>
    <t>Quantity</t>
  </si>
  <si>
    <t>Net Price</t>
  </si>
  <si>
    <t>SaaS Management Enterprise Plan for 9000 Full-time Employees</t>
  </si>
  <si>
    <t>Access to Unlimited Integrations in the Integrations Centre</t>
  </si>
  <si>
    <t>-</t>
  </si>
  <si>
    <t>Included</t>
  </si>
  <si>
    <t>Implementation Fee</t>
  </si>
  <si>
    <t>Access to Customer Support, Customer Success Manager and Training</t>
  </si>
  <si>
    <t>Total List Price</t>
  </si>
  <si>
    <t>Discount</t>
  </si>
  <si>
    <t>Total Net Price</t>
  </si>
  <si>
    <t>Year 2 - Pricing</t>
  </si>
  <si>
    <t>Year 3 - Pricing</t>
  </si>
  <si>
    <t>Discount %</t>
  </si>
  <si>
    <t>SaaS Management Enterprise Plan for 5,100 Full-time Employees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</si>
</sst>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€&quot;#,##0"/>
  </numFmts>
  <fonts count="8">
    <font>
      <sz val="10.0"/>
      <color rgb="FF000000"/>
      <name val="Arial"/>
      <scheme val="minor"/>
    </font>
    <font>
      <b/>
      <sz val="14.0"/>
      <color theme="1"/>
      <name val="Arial"/>
    </font>
    <font>
      <color theme="1"/>
      <name val="Arial"/>
    </font>
    <font>
      <b/>
      <sz val="12.0"/>
      <color rgb="FFFFFFFF"/>
      <name val="Arial"/>
    </font>
    <font>
      <b/>
      <sz val="11.0"/>
      <color rgb="FF000000"/>
      <name val="Lexend"/>
    </font>
    <font>
      <sz val="11.0"/>
      <color rgb="FF000000"/>
      <name val="Lexend"/>
    </font>
    <font>
      <b/>
      <sz val="11.0"/>
      <color theme="1"/>
      <name val="Lexend"/>
    </font>
    <font>
      <sz val="11.0"/>
      <color theme="1"/>
      <name val="Lexend"/>
    </font>
  </fonts>
  <fills count="6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D8FA73"/>
        <bgColor rgb="FFD8FA73"/>
      </patternFill>
    </fill>
    <fill>
      <patternFill patternType="solid">
        <fgColor rgb="FFF3F3F2"/>
        <bgColor rgb="FFF3F3F2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2" fontId="3" numFmtId="0" xfId="0" applyFill="1" applyFont="1"/>
    <xf borderId="0" fillId="3" fontId="4" numFmtId="0" xfId="0" applyAlignment="1" applyFill="1" applyFont="1">
      <alignment horizontal="left" vertical="bottom"/>
    </xf>
    <xf borderId="0" fillId="4" fontId="5" numFmtId="0" xfId="0" applyAlignment="1" applyFill="1" applyFont="1">
      <alignment horizontal="left" readingOrder="0" vertical="top"/>
    </xf>
    <xf borderId="0" fillId="4" fontId="5" numFmtId="164" xfId="0" applyAlignment="1" applyFont="1" applyNumberFormat="1">
      <alignment horizontal="right" vertical="top"/>
    </xf>
    <xf borderId="0" fillId="4" fontId="5" numFmtId="0" xfId="0" applyAlignment="1" applyFont="1">
      <alignment horizontal="right" vertical="top"/>
    </xf>
    <xf borderId="0" fillId="4" fontId="5" numFmtId="3" xfId="0" applyAlignment="1" applyFont="1" applyNumberFormat="1">
      <alignment horizontal="right" readingOrder="0" vertical="top"/>
    </xf>
    <xf borderId="0" fillId="0" fontId="5" numFmtId="0" xfId="0" applyAlignment="1" applyFont="1">
      <alignment horizontal="left" vertical="top"/>
    </xf>
    <xf borderId="0" fillId="0" fontId="5" numFmtId="164" xfId="0" applyAlignment="1" applyFont="1" applyNumberFormat="1">
      <alignment horizontal="right" vertical="top"/>
    </xf>
    <xf borderId="0" fillId="0" fontId="5" numFmtId="0" xfId="0" applyAlignment="1" applyFont="1">
      <alignment horizontal="right" vertical="top"/>
    </xf>
    <xf borderId="0" fillId="4" fontId="5" numFmtId="0" xfId="0" applyAlignment="1" applyFont="1">
      <alignment horizontal="left" vertical="top"/>
    </xf>
    <xf borderId="0" fillId="5" fontId="5" numFmtId="0" xfId="0" applyAlignment="1" applyFill="1" applyFont="1">
      <alignment horizontal="right" vertical="top"/>
    </xf>
    <xf borderId="0" fillId="5" fontId="5" numFmtId="164" xfId="0" applyAlignment="1" applyFont="1" applyNumberFormat="1">
      <alignment horizontal="right" vertical="top"/>
    </xf>
    <xf borderId="0" fillId="5" fontId="5" numFmtId="10" xfId="0" applyAlignment="1" applyFont="1" applyNumberFormat="1">
      <alignment horizontal="right" readingOrder="0" vertical="top"/>
    </xf>
    <xf borderId="0" fillId="5" fontId="4" numFmtId="0" xfId="0" applyAlignment="1" applyFont="1">
      <alignment horizontal="right" vertical="top"/>
    </xf>
    <xf borderId="0" fillId="5" fontId="4" numFmtId="164" xfId="0" applyAlignment="1" applyFont="1" applyNumberFormat="1">
      <alignment horizontal="right" vertical="top"/>
    </xf>
    <xf borderId="0" fillId="2" fontId="3" numFmtId="0" xfId="0" applyAlignment="1" applyFont="1">
      <alignment readingOrder="0"/>
    </xf>
    <xf borderId="0" fillId="2" fontId="3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3" fontId="6" numFmtId="0" xfId="0" applyAlignment="1" applyFont="1">
      <alignment vertical="bottom"/>
    </xf>
    <xf borderId="0" fillId="4" fontId="7" numFmtId="0" xfId="0" applyAlignment="1" applyFont="1">
      <alignment vertical="top"/>
    </xf>
    <xf borderId="0" fillId="4" fontId="7" numFmtId="164" xfId="0" applyAlignment="1" applyFont="1" applyNumberFormat="1">
      <alignment horizontal="right" vertical="top"/>
    </xf>
    <xf borderId="0" fillId="4" fontId="7" numFmtId="0" xfId="0" applyAlignment="1" applyFont="1">
      <alignment horizontal="right" vertical="top"/>
    </xf>
    <xf borderId="0" fillId="4" fontId="7" numFmtId="3" xfId="0" applyAlignment="1" applyFont="1" applyNumberFormat="1">
      <alignment horizontal="right" vertical="top"/>
    </xf>
    <xf borderId="0" fillId="0" fontId="7" numFmtId="0" xfId="0" applyAlignment="1" applyFont="1">
      <alignment vertical="top"/>
    </xf>
    <xf borderId="0" fillId="0" fontId="7" numFmtId="164" xfId="0" applyAlignment="1" applyFont="1" applyNumberFormat="1">
      <alignment horizontal="right" vertical="top"/>
    </xf>
    <xf borderId="0" fillId="0" fontId="7" numFmtId="0" xfId="0" applyAlignment="1" applyFont="1">
      <alignment horizontal="right" vertical="top"/>
    </xf>
    <xf borderId="0" fillId="5" fontId="7" numFmtId="0" xfId="0" applyAlignment="1" applyFont="1">
      <alignment horizontal="right" vertical="top"/>
    </xf>
    <xf borderId="0" fillId="5" fontId="7" numFmtId="164" xfId="0" applyAlignment="1" applyFont="1" applyNumberFormat="1">
      <alignment horizontal="right" vertical="top"/>
    </xf>
    <xf borderId="0" fillId="5" fontId="7" numFmtId="10" xfId="0" applyAlignment="1" applyFont="1" applyNumberFormat="1">
      <alignment horizontal="right" vertical="top"/>
    </xf>
    <xf borderId="0" fillId="5" fontId="6" numFmtId="0" xfId="0" applyAlignment="1" applyFont="1">
      <alignment horizontal="right" vertical="top"/>
    </xf>
    <xf borderId="0" fillId="5" fontId="6" numFmtId="164" xfId="0" applyAlignment="1" applyFont="1" applyNumberFormat="1">
      <alignment horizontal="right" vertical="top"/>
    </xf>
    <xf borderId="0" fillId="4" fontId="5" numFmtId="3" xfId="0" applyAlignment="1" applyFont="1" applyNumberFormat="1">
      <alignment horizontal="right" vertical="top"/>
    </xf>
    <xf borderId="0" fillId="4" fontId="5" numFmtId="9" xfId="0" applyAlignment="1" applyFont="1" applyNumberFormat="1">
      <alignment horizontal="right" vertical="top"/>
    </xf>
    <xf borderId="0" fillId="0" fontId="5" numFmtId="9" xfId="0" applyAlignment="1" applyFont="1" applyNumberFormat="1">
      <alignment horizontal="right" vertical="top"/>
    </xf>
    <xf borderId="0" fillId="5" fontId="5" numFmtId="10" xfId="0" applyAlignment="1" applyFont="1" applyNumberFormat="1">
      <alignment horizontal="righ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3.38"/>
    <col customWidth="1" min="2" max="5" width="12.63"/>
  </cols>
  <sheetData>
    <row r="1" ht="15.75" customHeight="1">
      <c r="A1" s="1" t="s">
        <v>0</v>
      </c>
    </row>
    <row r="2" ht="15.75" customHeight="1">
      <c r="A2" s="2" t="s">
        <v>1</v>
      </c>
    </row>
    <row r="3" ht="15.75" customHeight="1"/>
    <row r="4" ht="15.75" customHeight="1"/>
    <row r="5" ht="15.75" customHeight="1">
      <c r="A5" s="3" t="s">
        <v>2</v>
      </c>
    </row>
    <row r="6" ht="15.75" customHeight="1"/>
    <row r="7" ht="15.75" customHeight="1">
      <c r="A7" s="4" t="s">
        <v>3</v>
      </c>
      <c r="B7" s="4" t="s">
        <v>4</v>
      </c>
      <c r="C7" s="4" t="s">
        <v>5</v>
      </c>
      <c r="D7" s="4" t="s">
        <v>6</v>
      </c>
      <c r="E7" s="4" t="s">
        <v>7</v>
      </c>
    </row>
    <row r="8" ht="15.75" customHeight="1">
      <c r="A8" s="5" t="s">
        <v>8</v>
      </c>
      <c r="B8" s="6">
        <v>2.0</v>
      </c>
      <c r="C8" s="7">
        <v>12.0</v>
      </c>
      <c r="D8" s="8">
        <v>9000.0</v>
      </c>
      <c r="E8" s="6">
        <f>B8*C8*D8</f>
        <v>216000</v>
      </c>
    </row>
    <row r="9" ht="15.75" customHeight="1">
      <c r="A9" s="9" t="s">
        <v>9</v>
      </c>
      <c r="B9" s="10">
        <v>10000.0</v>
      </c>
      <c r="C9" s="11" t="s">
        <v>10</v>
      </c>
      <c r="D9" s="11">
        <v>1.0</v>
      </c>
      <c r="E9" s="11" t="s">
        <v>11</v>
      </c>
    </row>
    <row r="10" ht="15.75" customHeight="1">
      <c r="A10" s="12" t="s">
        <v>12</v>
      </c>
      <c r="B10" s="6">
        <v>15000.0</v>
      </c>
      <c r="C10" s="7" t="s">
        <v>10</v>
      </c>
      <c r="D10" s="7">
        <v>1.0</v>
      </c>
      <c r="E10" s="6">
        <v>15000.0</v>
      </c>
    </row>
    <row r="11" ht="15.75" customHeight="1">
      <c r="A11" s="9" t="s">
        <v>13</v>
      </c>
      <c r="B11" s="10">
        <v>25000.0</v>
      </c>
      <c r="C11" s="11" t="s">
        <v>10</v>
      </c>
      <c r="D11" s="11">
        <v>1.0</v>
      </c>
      <c r="E11" s="11" t="s">
        <v>11</v>
      </c>
    </row>
    <row r="12" ht="15.75" customHeight="1">
      <c r="A12" s="13" t="s">
        <v>14</v>
      </c>
      <c r="E12" s="14">
        <f>(B8*C8*D8)+B9+B10+B11</f>
        <v>266000</v>
      </c>
    </row>
    <row r="13" ht="15.75" customHeight="1">
      <c r="A13" s="13" t="s">
        <v>15</v>
      </c>
      <c r="E13" s="15">
        <v>0.5</v>
      </c>
    </row>
    <row r="14" ht="15.75" customHeight="1">
      <c r="A14" s="16" t="s">
        <v>16</v>
      </c>
      <c r="E14" s="17">
        <f>E12*(1-E13)</f>
        <v>133000</v>
      </c>
    </row>
    <row r="15" ht="15.75" customHeight="1"/>
    <row r="16" ht="15.75" customHeight="1"/>
    <row r="17" ht="15.75" customHeight="1">
      <c r="A17" s="18" t="s">
        <v>17</v>
      </c>
    </row>
    <row r="18" ht="15.75" customHeight="1"/>
    <row r="19" ht="15.75" customHeight="1">
      <c r="A19" s="4" t="s">
        <v>3</v>
      </c>
      <c r="B19" s="4" t="s">
        <v>4</v>
      </c>
      <c r="C19" s="4" t="s">
        <v>5</v>
      </c>
      <c r="D19" s="4" t="s">
        <v>6</v>
      </c>
      <c r="E19" s="4" t="s">
        <v>7</v>
      </c>
    </row>
    <row r="20" ht="15.75" customHeight="1">
      <c r="A20" s="5" t="s">
        <v>8</v>
      </c>
      <c r="B20" s="6">
        <v>2.0</v>
      </c>
      <c r="C20" s="7">
        <v>12.0</v>
      </c>
      <c r="D20" s="8">
        <v>9000.0</v>
      </c>
      <c r="E20" s="6">
        <f>B20*C20*D20</f>
        <v>216000</v>
      </c>
    </row>
    <row r="21" ht="15.75" customHeight="1">
      <c r="A21" s="9" t="s">
        <v>9</v>
      </c>
      <c r="B21" s="10">
        <v>10000.0</v>
      </c>
      <c r="C21" s="11" t="s">
        <v>10</v>
      </c>
      <c r="D21" s="11">
        <v>1.0</v>
      </c>
      <c r="E21" s="11" t="s">
        <v>11</v>
      </c>
    </row>
    <row r="22" ht="15.75" customHeight="1">
      <c r="A22" s="9" t="s">
        <v>13</v>
      </c>
      <c r="B22" s="10">
        <v>25000.0</v>
      </c>
      <c r="C22" s="11" t="s">
        <v>10</v>
      </c>
      <c r="D22" s="11">
        <v>1.0</v>
      </c>
      <c r="E22" s="11" t="s">
        <v>11</v>
      </c>
    </row>
    <row r="23" ht="15.75" customHeight="1">
      <c r="A23" s="13" t="s">
        <v>14</v>
      </c>
      <c r="E23" s="14">
        <f>(B20*C20*D20)+B21+B22</f>
        <v>251000</v>
      </c>
    </row>
    <row r="24" ht="15.75" customHeight="1">
      <c r="A24" s="13" t="s">
        <v>15</v>
      </c>
      <c r="E24" s="15">
        <v>0.5</v>
      </c>
    </row>
    <row r="25" ht="15.75" customHeight="1">
      <c r="A25" s="16" t="s">
        <v>16</v>
      </c>
      <c r="E25" s="17">
        <f>E23*(1-E24)</f>
        <v>125500</v>
      </c>
    </row>
    <row r="26" ht="15.75" customHeight="1"/>
    <row r="27" ht="15.75" customHeight="1"/>
    <row r="28" ht="15.75" customHeight="1">
      <c r="A28" s="19" t="s">
        <v>18</v>
      </c>
    </row>
    <row r="29" ht="15.75" customHeight="1">
      <c r="A29" s="20"/>
      <c r="B29" s="20"/>
      <c r="C29" s="20"/>
      <c r="D29" s="20"/>
      <c r="E29" s="20"/>
    </row>
    <row r="30" ht="15.75" customHeight="1">
      <c r="A30" s="21" t="s">
        <v>3</v>
      </c>
      <c r="B30" s="21" t="s">
        <v>4</v>
      </c>
      <c r="C30" s="21" t="s">
        <v>5</v>
      </c>
      <c r="D30" s="21" t="s">
        <v>6</v>
      </c>
      <c r="E30" s="21" t="s">
        <v>7</v>
      </c>
    </row>
    <row r="31" ht="15.75" customHeight="1">
      <c r="A31" s="22" t="s">
        <v>8</v>
      </c>
      <c r="B31" s="23">
        <v>2.0</v>
      </c>
      <c r="C31" s="24">
        <v>12.0</v>
      </c>
      <c r="D31" s="25">
        <v>9000.0</v>
      </c>
      <c r="E31" s="23">
        <f>B31*C31*D31</f>
        <v>216000</v>
      </c>
    </row>
    <row r="32" ht="15.75" customHeight="1">
      <c r="A32" s="26" t="s">
        <v>9</v>
      </c>
      <c r="B32" s="27">
        <v>10000.0</v>
      </c>
      <c r="C32" s="28" t="s">
        <v>10</v>
      </c>
      <c r="D32" s="28">
        <v>1.0</v>
      </c>
      <c r="E32" s="28" t="s">
        <v>11</v>
      </c>
    </row>
    <row r="33" ht="15.75" customHeight="1">
      <c r="A33" s="26" t="s">
        <v>13</v>
      </c>
      <c r="B33" s="27">
        <v>25000.0</v>
      </c>
      <c r="C33" s="28" t="s">
        <v>10</v>
      </c>
      <c r="D33" s="28">
        <v>1.0</v>
      </c>
      <c r="E33" s="28" t="s">
        <v>11</v>
      </c>
    </row>
    <row r="34" ht="15.75" customHeight="1">
      <c r="A34" s="29" t="s">
        <v>14</v>
      </c>
      <c r="E34" s="30">
        <f>(B31*C31*D31)+B32+B33</f>
        <v>251000</v>
      </c>
    </row>
    <row r="35" ht="15.75" customHeight="1">
      <c r="A35" s="29" t="s">
        <v>15</v>
      </c>
      <c r="E35" s="31">
        <v>0.5</v>
      </c>
    </row>
    <row r="36" ht="15.75" customHeight="1">
      <c r="A36" s="32" t="s">
        <v>16</v>
      </c>
      <c r="E36" s="33">
        <f>E34*(1-E35)</f>
        <v>125500</v>
      </c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</sheetData>
  <mergeCells count="14">
    <mergeCell ref="A23:D23"/>
    <mergeCell ref="A24:D24"/>
    <mergeCell ref="A25:D25"/>
    <mergeCell ref="A28:E28"/>
    <mergeCell ref="A34:D34"/>
    <mergeCell ref="A35:D35"/>
    <mergeCell ref="A36:D36"/>
    <mergeCell ref="A1:E1"/>
    <mergeCell ref="A2:E2"/>
    <mergeCell ref="A5:E5"/>
    <mergeCell ref="A12:D12"/>
    <mergeCell ref="A13:D13"/>
    <mergeCell ref="A14:D14"/>
    <mergeCell ref="A17:E17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3.38"/>
    <col customWidth="1" min="2" max="6" width="12.63"/>
  </cols>
  <sheetData>
    <row r="1" ht="15.75" customHeight="1">
      <c r="A1" s="1" t="s">
        <v>0</v>
      </c>
    </row>
    <row r="2" ht="15.75" customHeight="1">
      <c r="A2" s="2" t="s">
        <v>1</v>
      </c>
    </row>
    <row r="3" ht="15.75" customHeight="1"/>
    <row r="4" ht="15.75" customHeight="1"/>
    <row r="5" ht="15.75" customHeight="1">
      <c r="A5" s="3" t="s">
        <v>2</v>
      </c>
    </row>
    <row r="6" ht="15.75" customHeight="1"/>
    <row r="7" ht="15.75" customHeight="1">
      <c r="A7" s="4" t="s">
        <v>3</v>
      </c>
      <c r="B7" s="4" t="s">
        <v>4</v>
      </c>
      <c r="C7" s="4" t="s">
        <v>5</v>
      </c>
      <c r="D7" s="4" t="s">
        <v>6</v>
      </c>
      <c r="E7" s="4" t="s">
        <v>19</v>
      </c>
      <c r="F7" s="4" t="s">
        <v>7</v>
      </c>
    </row>
    <row r="8" ht="15.75" customHeight="1">
      <c r="A8" s="12" t="s">
        <v>20</v>
      </c>
      <c r="B8" s="6">
        <v>2.0</v>
      </c>
      <c r="C8" s="7">
        <v>12.0</v>
      </c>
      <c r="D8" s="34">
        <v>5100.0</v>
      </c>
      <c r="E8" s="35">
        <v>0.25</v>
      </c>
      <c r="F8" s="6">
        <v>91800.0</v>
      </c>
    </row>
    <row r="9" ht="15.75" customHeight="1">
      <c r="A9" s="9" t="s">
        <v>9</v>
      </c>
      <c r="B9" s="10">
        <v>10000.0</v>
      </c>
      <c r="C9" s="11" t="s">
        <v>10</v>
      </c>
      <c r="D9" s="11">
        <v>1.0</v>
      </c>
      <c r="E9" s="36">
        <v>1.0</v>
      </c>
      <c r="F9" s="11" t="s">
        <v>11</v>
      </c>
    </row>
    <row r="10" ht="15.75" customHeight="1">
      <c r="A10" s="12" t="s">
        <v>12</v>
      </c>
      <c r="B10" s="6">
        <v>15000.0</v>
      </c>
      <c r="C10" s="7" t="s">
        <v>10</v>
      </c>
      <c r="D10" s="7">
        <v>1.0</v>
      </c>
      <c r="E10" s="35">
        <v>0.0</v>
      </c>
      <c r="F10" s="6">
        <v>15000.0</v>
      </c>
    </row>
    <row r="11" ht="15.75" customHeight="1">
      <c r="A11" s="9" t="s">
        <v>13</v>
      </c>
      <c r="B11" s="10">
        <v>25000.0</v>
      </c>
      <c r="C11" s="11" t="s">
        <v>10</v>
      </c>
      <c r="D11" s="11">
        <v>1.0</v>
      </c>
      <c r="E11" s="36">
        <v>1.0</v>
      </c>
      <c r="F11" s="11" t="s">
        <v>11</v>
      </c>
    </row>
    <row r="12" ht="15.75" customHeight="1">
      <c r="A12" s="13" t="s">
        <v>14</v>
      </c>
      <c r="F12" s="14">
        <v>172400.0</v>
      </c>
    </row>
    <row r="13" ht="15.75" customHeight="1">
      <c r="A13" s="13" t="s">
        <v>15</v>
      </c>
      <c r="F13" s="37">
        <v>0.3805</v>
      </c>
    </row>
    <row r="14" ht="15.75" customHeight="1">
      <c r="A14" s="16" t="s">
        <v>16</v>
      </c>
      <c r="F14" s="17">
        <v>106800.0</v>
      </c>
    </row>
    <row r="15" ht="15.75" customHeight="1"/>
    <row r="16" ht="15.75" customHeight="1">
      <c r="A16" s="3" t="s">
        <v>17</v>
      </c>
    </row>
    <row r="17" ht="15.75" customHeight="1"/>
    <row r="18" ht="15.75" customHeight="1">
      <c r="A18" s="4" t="s">
        <v>3</v>
      </c>
      <c r="B18" s="4" t="s">
        <v>4</v>
      </c>
      <c r="C18" s="4" t="s">
        <v>5</v>
      </c>
      <c r="D18" s="4" t="s">
        <v>6</v>
      </c>
      <c r="E18" s="4" t="s">
        <v>19</v>
      </c>
      <c r="F18" s="4" t="s">
        <v>7</v>
      </c>
    </row>
    <row r="19" ht="15.75" customHeight="1">
      <c r="A19" s="12" t="s">
        <v>20</v>
      </c>
      <c r="B19" s="6">
        <v>2.0</v>
      </c>
      <c r="C19" s="7">
        <v>12.0</v>
      </c>
      <c r="D19" s="34">
        <v>5100.0</v>
      </c>
      <c r="E19" s="35">
        <v>0.25</v>
      </c>
      <c r="F19" s="6">
        <v>91800.0</v>
      </c>
    </row>
    <row r="20" ht="15.75" customHeight="1">
      <c r="A20" s="9" t="s">
        <v>9</v>
      </c>
      <c r="B20" s="10">
        <v>10000.0</v>
      </c>
      <c r="C20" s="11" t="s">
        <v>10</v>
      </c>
      <c r="D20" s="11">
        <v>1.0</v>
      </c>
      <c r="E20" s="36">
        <v>1.0</v>
      </c>
      <c r="F20" s="11" t="s">
        <v>11</v>
      </c>
    </row>
    <row r="21" ht="15.75" customHeight="1">
      <c r="A21" s="9" t="s">
        <v>13</v>
      </c>
      <c r="B21" s="10">
        <v>25000.0</v>
      </c>
      <c r="C21" s="11" t="s">
        <v>10</v>
      </c>
      <c r="D21" s="11">
        <v>1.0</v>
      </c>
      <c r="E21" s="36">
        <v>1.0</v>
      </c>
      <c r="F21" s="11" t="s">
        <v>11</v>
      </c>
    </row>
    <row r="22" ht="15.75" customHeight="1">
      <c r="A22" s="13" t="s">
        <v>14</v>
      </c>
      <c r="F22" s="14">
        <v>157400.0</v>
      </c>
    </row>
    <row r="23" ht="15.75" customHeight="1">
      <c r="A23" s="13" t="s">
        <v>15</v>
      </c>
      <c r="F23" s="37">
        <v>0.4168</v>
      </c>
    </row>
    <row r="24" ht="15.75" customHeight="1">
      <c r="A24" s="16" t="s">
        <v>16</v>
      </c>
      <c r="F24" s="17">
        <v>91800.0</v>
      </c>
    </row>
    <row r="25" ht="15.75" customHeight="1"/>
    <row r="26" ht="15.75" customHeight="1">
      <c r="A26" s="3" t="s">
        <v>18</v>
      </c>
    </row>
    <row r="27" ht="15.75" customHeight="1"/>
    <row r="28" ht="15.75" customHeight="1">
      <c r="A28" s="4" t="s">
        <v>3</v>
      </c>
      <c r="B28" s="4" t="s">
        <v>4</v>
      </c>
      <c r="C28" s="4" t="s">
        <v>5</v>
      </c>
      <c r="D28" s="4" t="s">
        <v>6</v>
      </c>
      <c r="E28" s="4" t="s">
        <v>19</v>
      </c>
      <c r="F28" s="4" t="s">
        <v>7</v>
      </c>
    </row>
    <row r="29" ht="15.75" customHeight="1">
      <c r="A29" s="12" t="s">
        <v>20</v>
      </c>
      <c r="B29" s="6">
        <v>2.0</v>
      </c>
      <c r="C29" s="7">
        <v>12.0</v>
      </c>
      <c r="D29" s="34">
        <v>5100.0</v>
      </c>
      <c r="E29" s="35">
        <v>0.25</v>
      </c>
      <c r="F29" s="6">
        <v>91800.0</v>
      </c>
    </row>
    <row r="30" ht="15.75" customHeight="1">
      <c r="A30" s="9" t="s">
        <v>9</v>
      </c>
      <c r="B30" s="10">
        <v>10000.0</v>
      </c>
      <c r="C30" s="11" t="s">
        <v>10</v>
      </c>
      <c r="D30" s="11">
        <v>1.0</v>
      </c>
      <c r="E30" s="36">
        <v>1.0</v>
      </c>
      <c r="F30" s="11" t="s">
        <v>11</v>
      </c>
    </row>
    <row r="31" ht="15.75" customHeight="1">
      <c r="A31" s="9" t="s">
        <v>13</v>
      </c>
      <c r="B31" s="10">
        <v>25000.0</v>
      </c>
      <c r="C31" s="11" t="s">
        <v>10</v>
      </c>
      <c r="D31" s="11">
        <v>1.0</v>
      </c>
      <c r="E31" s="36">
        <v>1.0</v>
      </c>
      <c r="F31" s="11" t="s">
        <v>11</v>
      </c>
    </row>
    <row r="32" ht="15.75" customHeight="1">
      <c r="A32" s="13" t="s">
        <v>14</v>
      </c>
      <c r="F32" s="14">
        <v>157400.0</v>
      </c>
    </row>
    <row r="33" ht="15.75" customHeight="1">
      <c r="A33" s="13" t="s">
        <v>15</v>
      </c>
      <c r="F33" s="37">
        <v>0.4168</v>
      </c>
    </row>
    <row r="34" ht="15.75" customHeight="1">
      <c r="A34" s="16" t="s">
        <v>16</v>
      </c>
      <c r="F34" s="17">
        <v>91800.0</v>
      </c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A22:E22"/>
    <mergeCell ref="A23:E23"/>
    <mergeCell ref="A24:E24"/>
    <mergeCell ref="A26:F26"/>
    <mergeCell ref="A32:E32"/>
    <mergeCell ref="A33:E33"/>
    <mergeCell ref="A34:E34"/>
    <mergeCell ref="A1:F1"/>
    <mergeCell ref="A2:F2"/>
    <mergeCell ref="A5:F5"/>
    <mergeCell ref="A12:E12"/>
    <mergeCell ref="A13:E13"/>
    <mergeCell ref="A14:E14"/>
    <mergeCell ref="A16:F16"/>
  </mergeCells>
  <drawing r:id="rId1"/>
</worksheet>
</file>
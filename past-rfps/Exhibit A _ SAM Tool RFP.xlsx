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 sheetId="1" r:id="rId5"/>
    <sheet state="visible" name="Legal Requirements" sheetId="2" r:id="rId6"/>
    <sheet state="hidden" name="Overall System Requirements" sheetId="3" r:id="rId7"/>
    <sheet state="visible" name="Overall Requirements" sheetId="4" r:id="rId8"/>
    <sheet state="hidden" name="Technical Requirements" sheetId="5" r:id="rId9"/>
    <sheet state="visible" name="SaaS Direct Connections" sheetId="6" r:id="rId10"/>
    <sheet state="visible" name="Pricing Sheet" sheetId="7" r:id="rId11"/>
  </sheets>
  <definedNames>
    <definedName hidden="1" localSheetId="3" name="_xlnm._FilterDatabase">'Overall Requirements'!$E$1:$E$1000</definedName>
  </definedNames>
  <calcPr/>
</workbook>
</file>

<file path=xl/sharedStrings.xml><?xml version="1.0" encoding="utf-8"?>
<sst xmlns="http://schemas.openxmlformats.org/spreadsheetml/2006/main" count="1871" uniqueCount="782">
  <si>
    <t>Company Profile</t>
  </si>
  <si>
    <t>YOUR COMPANY PROFILE</t>
  </si>
  <si>
    <t>KEY CLIENTS TO HIGHLIGHT</t>
  </si>
  <si>
    <t>Company Name (and parent company as applicable)</t>
  </si>
  <si>
    <r>
      <rPr>
        <rFont val="Arial"/>
        <color rgb="FF000000"/>
        <sz val="10.0"/>
      </rPr>
      <t xml:space="preserve">Our company name is Zluri Inc, and the parent company is Zluri Technologies Pvt. Ltd. For more information about us, you can visit our </t>
    </r>
    <r>
      <rPr>
        <rFont val="Arial"/>
        <color rgb="FF1155CC"/>
        <sz val="10.0"/>
        <u/>
      </rPr>
      <t>story page</t>
    </r>
    <r>
      <rPr>
        <rFont val="Arial"/>
        <color rgb="FF000000"/>
        <sz val="10.0"/>
      </rPr>
      <t>.</t>
    </r>
  </si>
  <si>
    <r>
      <rPr>
        <rFont val="Arial"/>
        <color rgb="FF000000"/>
        <sz val="10.0"/>
      </rPr>
      <t xml:space="preserve">Please find some of our key clients along with their case studies here - </t>
    </r>
    <r>
      <rPr>
        <rFont val="Arial"/>
        <color rgb="FF1155CC"/>
        <sz val="10.0"/>
        <u/>
      </rPr>
      <t>https://www.zluri.com/case-studies</t>
    </r>
  </si>
  <si>
    <t>Company Address</t>
  </si>
  <si>
    <t>Our company address is:
691, S Milpitas Blvd, Suite 217, Milpitas, CA 95035, USA.</t>
  </si>
  <si>
    <t>Year Company Founded</t>
  </si>
  <si>
    <r>
      <t xml:space="preserve">Zluri was founded approximately four years ago. For more about our company history, you can visit </t>
    </r>
    <r>
      <rPr>
        <rFont val="Arial"/>
        <color rgb="FF1155CC"/>
        <u/>
      </rPr>
      <t>our story</t>
    </r>
    <r>
      <rPr>
        <rFont val="Arial"/>
        <color theme="1"/>
      </rPr>
      <t>.</t>
    </r>
  </si>
  <si>
    <t>Company CEO and years with company</t>
  </si>
  <si>
    <t>Ritish Reddy – Co-founder and Chief Executive Officer since 2020.</t>
  </si>
  <si>
    <t>Senior Management Team (names, titles, years with company)</t>
  </si>
  <si>
    <t>Chaithanya Yambari – Co-founder and Chief Technology Officer since 2020.
Sethu Meenakshisundaram – Co-founder and Chief Operating Officer since 2020.</t>
  </si>
  <si>
    <t>What is your Company Mission Statement</t>
  </si>
  <si>
    <t>Our mission is to accelerate the world’s transition to SaaS.</t>
  </si>
  <si>
    <t>What is your Company Strategic Vision</t>
  </si>
  <si>
    <t>Our strategic vision at Zluri is to maintain a global focus, ensuring our solutions are accessible and effective worldwide without any international restrictions. We aim to provide unparalleled value through our SaaS-based platform, which offers deep discovery with over 800 integrations, granular insights, and complete visibility into your SaaS ecosystem. Our platform is designed to optimize usage and costs through detailed analysis and forecasts, enhance security with risk assessments, and automate processes with flexible, no-code playbooks. We are committed to leveraging AI for intelligent SaaSOps, enabling IT teams to optimize their operations with hyper-customization and data-driven insights.</t>
  </si>
  <si>
    <t xml:space="preserve">Countries you operate in and associated no. of employees? </t>
  </si>
  <si>
    <t xml:space="preserve">Zluri has a global presence and it operates out of USA and India. There are around 10 employees in the USA and around 140 FTE in India </t>
  </si>
  <si>
    <t>Cities you operate in and associated no. of employees?</t>
  </si>
  <si>
    <t xml:space="preserve">In USA, Zluri has employees across multiple cities namely, Lehi Utah, San Francisco, and New York. 
In India, our employees work out of the Bangalore office. </t>
  </si>
  <si>
    <t>Should you enter into a partnership with Uber what would be your mission statement?</t>
  </si>
  <si>
    <t>Total Number of Employees Globally</t>
  </si>
  <si>
    <t xml:space="preserve">Zluri has a total of 150 employees worldwide as of February 1st. </t>
  </si>
  <si>
    <t>Total No. of Research and Development</t>
  </si>
  <si>
    <t xml:space="preserve">~70 total count including 47 FTE and rest are interns and contractors </t>
  </si>
  <si>
    <t>At Zluri, our vision is to revolutionize how organizations discover, manage, and optimize their SaaS ecosystems:
Overcoming SaaS Sprawl: We aim to eliminate the inefficiencies caused by uncontrolled SaaS proliferation. By converging discovery, usage analysis, and optimization into a single platform, we transform complex, fragmented SaaS landscapes into streamlined, efficient environments.
Unified SaaS Visibility: Our mission is to provide organizations with 100% visibility over their entire SaaS ecosystem. We achieve this by converging previously siloed functions of application discovery, usage tracking, and spend management into a single, coherent framework.
Enabling SaaS-Driven Agility: We strive to create an environment where SaaS technologies seamlessly support business objectives. This allows organizations to achieve a state of "flow" in the digital age, free from the constraints of shadowed IT and underutilized subscriptions.
Strategic SaaS Optimization: By breaking down silos, we empower organizations to turn SaaS management into a strategic advantage. Our unified approach optimizes costs, enhances productivity, and drives data-driven decision-making in ways impossible with fragmented management systems.
Future-Proofing SaaS Environments: We are committed to addressing emerging challenges in SaaS management, including integration complexities and evolving vendor landscapes. Our converged approach serves as the cornerstone for navigating these complexities, providing flexibility and adaptability that traditional methods cannot match.
Streamlined SaaS Governance: Our goal is to simplify governance processes for SaaS technologies. By converging discovery, usage analysis, and policy enforcement, we promote responsible and efficient use of SaaS tools while reducing the management burden created by disparate systems.
Driving Continuous SaaS Innovation: We pledge to remain at the forefront of SaaS management, continually evolving our platform to meet the changing needs of organizations in the rapidly evolving SaaS world. Our innovation focus is on further integration and efficiency gains that siloed approaches cannot achieve.
Through our comprehensive approach to converging SaaS discovery, optimization, and management, Zluri aims to be the cornerstone that enables businesses to thrive in the SaaS-driven age. We envision a future where the complexities of managing diverse SaaS applications are transformed into a unified, seamless experience. This convergence frees organizations from the limitations of fragmented SaaS management, empowering them to focus on core missions and achieve unprecedented success in the digital era.</t>
  </si>
  <si>
    <t>Total No. of Sales</t>
  </si>
  <si>
    <t xml:space="preserve">13 FTE in total </t>
  </si>
  <si>
    <t>Total No. of Customer Support and Professional Services</t>
  </si>
  <si>
    <t>34 FTE in total</t>
  </si>
  <si>
    <t>PROPOSAL CONTACT INFORMATION</t>
  </si>
  <si>
    <t xml:space="preserve"> REFERENCES (one must be EMEA, US, and LATAM)</t>
  </si>
  <si>
    <t>Name</t>
  </si>
  <si>
    <t>Ryan Cote</t>
  </si>
  <si>
    <r>
      <rPr>
        <rFont val="Arial"/>
        <color rgb="FF1155CC"/>
        <sz val="10.0"/>
        <u/>
      </rPr>
      <t>1 Name</t>
    </r>
    <r>
      <rPr>
        <rFont val="Arial"/>
        <color rgb="FF000000"/>
        <sz val="10.0"/>
      </rPr>
      <t xml:space="preserve"> of Company </t>
    </r>
  </si>
  <si>
    <t>Yes, we can provide customer references at the right time. We typically facilitate reference calls with customers when Zluri is chosen as a preferred vendor. Hope this works.</t>
  </si>
  <si>
    <t>Title</t>
  </si>
  <si>
    <t>Enterprise Account Executive</t>
  </si>
  <si>
    <t xml:space="preserve">Contact Name and Title </t>
  </si>
  <si>
    <t>Address</t>
  </si>
  <si>
    <t>4750 Lincoln Blvd</t>
  </si>
  <si>
    <t xml:space="preserve">Contact Telephone </t>
  </si>
  <si>
    <t>Phone</t>
  </si>
  <si>
    <t>(509) 703-2712</t>
  </si>
  <si>
    <t xml:space="preserve">Contact Address </t>
  </si>
  <si>
    <t>Email Address</t>
  </si>
  <si>
    <t>ryan.c@zluri.com</t>
  </si>
  <si>
    <t xml:space="preserve">Length of time servicing account </t>
  </si>
  <si>
    <t>FINANCIAL</t>
  </si>
  <si>
    <t xml:space="preserve">1. Public or Private?  </t>
  </si>
  <si>
    <t>Private</t>
  </si>
  <si>
    <r>
      <rPr>
        <rFont val="Arial"/>
        <color rgb="FF1155CC"/>
        <sz val="10.0"/>
        <u/>
      </rPr>
      <t>2 Name</t>
    </r>
    <r>
      <rPr>
        <rFont val="Arial"/>
        <color rgb="FF000000"/>
        <sz val="10.0"/>
      </rPr>
      <t xml:space="preserve"> of Company </t>
    </r>
  </si>
  <si>
    <t>2. Stock Exchange  and ticker symbol</t>
  </si>
  <si>
    <t>Not Applicable</t>
  </si>
  <si>
    <t xml:space="preserve">3. URL </t>
  </si>
  <si>
    <r>
      <rPr>
        <rFont val="Arial"/>
        <color rgb="FF1155CC"/>
        <sz val="10.0"/>
        <u/>
      </rPr>
      <t>https://www.zluri.com/</t>
    </r>
    <r>
      <rPr>
        <rFont val="Arial"/>
        <color rgb="FF000000"/>
        <sz val="10.0"/>
      </rPr>
      <t xml:space="preserve"> </t>
    </r>
  </si>
  <si>
    <t>4. Describe ownership structure (attach additional information if required)</t>
  </si>
  <si>
    <r>
      <rPr>
        <rFont val="Arial"/>
        <color rgb="FF000000"/>
        <sz val="10.0"/>
      </rPr>
      <t xml:space="preserve">Zluri Inc is a C-Corp, privately owned Series B funded company and here is the news around our Series B funding - </t>
    </r>
    <r>
      <rPr>
        <rFont val="Arial"/>
        <color rgb="FF1155CC"/>
        <sz val="10.0"/>
        <u/>
      </rPr>
      <t>https://www.zluri.com/blog/series-b-funding</t>
    </r>
    <r>
      <rPr>
        <rFont val="Arial"/>
        <color rgb="FF000000"/>
        <sz val="10.0"/>
      </rPr>
      <t xml:space="preserve"> </t>
    </r>
  </si>
  <si>
    <t>5. How many out of your last 4 quarters were profitable?</t>
  </si>
  <si>
    <t xml:space="preserve">Revenue details cannot be shared as Zluri is currently a privately owned organization  (confidential)
</t>
  </si>
  <si>
    <t>6. 2023 Results</t>
  </si>
  <si>
    <t xml:space="preserve">  Revenue</t>
  </si>
  <si>
    <t xml:space="preserve">  Profit</t>
  </si>
  <si>
    <t xml:space="preserve">3.Name of Company </t>
  </si>
  <si>
    <t xml:space="preserve">  Software Revenue</t>
  </si>
  <si>
    <t xml:space="preserve">  Support Revenue</t>
  </si>
  <si>
    <t xml:space="preserve">  Professional Services Revenue</t>
  </si>
  <si>
    <t>7. 2024 Results</t>
  </si>
  <si>
    <t>LOST CLIENT</t>
  </si>
  <si>
    <t xml:space="preserve">Name of Company </t>
  </si>
  <si>
    <t xml:space="preserve">Zluri will be able to provide details during the demo call if Zluri is selected for the demo rounds. </t>
  </si>
  <si>
    <t>LEGAL &amp; COMPLIANCE</t>
  </si>
  <si>
    <t>1. Does Participant have any existing contractual obligations or liabilities and/or does Participant operate under any restrictive conditions that could impact Participant’s ability to deliver products or services contemplated under this RFP?</t>
  </si>
  <si>
    <t>No</t>
  </si>
  <si>
    <t>2 Has Participant’s technology network and/or data systems ever been breached or otherwise been the subject of any attack that has resulted in a denial of service or disclosure of any kind of data or information, including personal data, over the last 5 years?</t>
  </si>
  <si>
    <t>3. Provide details of any actual claims or litigation over the last 5 years including (i) governmental or regulatory, (ii) intellectual property, (iii) non-routine employment claims or litigation and, (iv) any breach of contract claims or litigation involving your customers.</t>
  </si>
  <si>
    <t>Reason</t>
  </si>
  <si>
    <t>4. Has Participant or its owners (including any person or entity that holds a legal or beneficial interest in the ownership Participant), ever been charged or convicted of a crime?</t>
  </si>
  <si>
    <t>5. As part of the contemplated services, will Participant, including its employees and contractors, meet or interact in any other way with government entities or government officials[1] on Uber’s behalf?</t>
  </si>
  <si>
    <t xml:space="preserve">No </t>
  </si>
  <si>
    <t>Is Participant owned, in whole or in part, by a government entity or government official?</t>
  </si>
  <si>
    <t>7. Does any Uber employee or personnel have any family member or close friend who has a financial stake in or is employed in an Uber-facing role with Participant?</t>
  </si>
  <si>
    <t>Does any Uber employee or personnel have any financial stake in the Participant?</t>
  </si>
  <si>
    <t>9. Has any Uber employee or personnel accepted (or expect to be offered) gifts or business courtesies from Participant exceeding Uber policy limits of $150 USD per person?</t>
  </si>
  <si>
    <t>10. Is there any likelihood of any benefits, gifts or incentives being extended by Participant, or its employees or contractors, to any family members or close friends of any Uber employee or personnel in connection with the potential award of business under this RFP?</t>
  </si>
  <si>
    <t>11. To the extent the answer to either of the immediately above questions is ‘Yes,’ were the personal and/or financial relationships and/or gifts, business courtesies, benefits or incentives previously disclosed to Uber prior to the start of this RFP process?</t>
  </si>
  <si>
    <t>[1] “Government Official” refers to (i) officers and employees of any national, regional, local, or other governmental entity; (ii) candidates for political office and elected government officials at any level of government; (iii) employees of government-owned or government-controlled commercial enterprises; (iv) political parties and party officials; (v) officers and employees of a public international organization such as the Organization for Economic Cooperation and Development (OECD) or the United Nations; or (vi) any other person acting in an official capacity for or on behalf of any of the foregoing. Examples of Government Officials include transportation regulators; municipal employees; town council members; police and other law enforcement authorities; representatives of sovereign wealth funds; journalists at state-controlled media companies; employees of public hospitals, universities or other public institutions; and local licensing authorities.</t>
  </si>
  <si>
    <t>Yes</t>
  </si>
  <si>
    <t>Legal Compliance - Section I</t>
  </si>
  <si>
    <t>#</t>
  </si>
  <si>
    <t>Requirement</t>
  </si>
  <si>
    <t>Acknowledgement</t>
  </si>
  <si>
    <t>As part of our selection process, any Participant who is successfully awarded the business contemplated under this RFP acknowledges that it shall be required to sign an agreement incorporating Uber’s standard terms and condition which can be found in Exhibit A attached as separate document. To the extent any of the services may involve the access to or the disclosure of personally identifiable information, Participant acknowledges that it shall also be required to sign Uber’s Data Processing Agreement which is attached as an exhibit to Uber’s standard terms. Participant acknowledges that in preparing and responding to this RFP, it has reviewed Uber’s standard terms and conditions and acknowledges that any successful award made to the Participant is conditioned upon acceptance of these.</t>
  </si>
  <si>
    <t>Acknowledged</t>
  </si>
  <si>
    <t>Participant has carefully reviewed all responses as provided by Participant and confirms that all information it has provided is complete and accurate in all material respects and shall promptly notify Uber to the extent Participant needs to amend or revise any of its responses to this RFP.</t>
  </si>
  <si>
    <t>Legal Compliance - Section II</t>
  </si>
  <si>
    <t>Does Participant have any existing contractual obligations or liabilities and/or does Participant operate under any restrictive conditions that could impact Participant’s ability to deliver products or services contemplated under this RFP?</t>
  </si>
  <si>
    <t>Has Participant’s technology network and/or data systems ever been breached or otherwise been the subject of any attack that has resulted in a denial of service or disclosure of any kind of data or information, including personal data, over the last 5 years?</t>
  </si>
  <si>
    <t>Provide details of any actual claims or litigation over the last 5 years including (i) governmental or regulatory, (ii) intellectual property, (iii) non-routine employment claims or litigation and, (iv) any breach of contract claims or litigation involving your customers.</t>
  </si>
  <si>
    <t>Has Participant or its owners (including any person or entity that holds a legal or beneficial interest in the ownership Participant), ever been charged or convicted of a crime?</t>
  </si>
  <si>
    <t>As part of the contemplated services, will Participant, including its employees and contractors, meet or interact in any other way with government entities or government officials* on Uber’s behalf?</t>
  </si>
  <si>
    <t>Does any Uber employee or personnel have any family member or close friend who has a financial stake in or is employed in an Uber-facing role with Participant?</t>
  </si>
  <si>
    <t>Has any Uber employee or personnel accepted (or expect to be offered) gifts or business courtesies from Participant exceeding Uber policy limits of $150 USD per person?</t>
  </si>
  <si>
    <t>Is there any likelihood of any benefits, gifts or incentives being extended by Participant, or its employees or contractors, to any family members or close friends of any Uber employee or personnel in connection with the potential award of business under this RFP?</t>
  </si>
  <si>
    <t>To the extent the answer to either of the immediately above questions is ‘Yes,’ were the personal and/or financial relationships and/or gifts, business courtesies, benefits or incentives previously disclosed to Uber prior to the start of this RFP process?</t>
  </si>
  <si>
    <t>-</t>
  </si>
  <si>
    <t>Number</t>
  </si>
  <si>
    <t>General Functionality</t>
  </si>
  <si>
    <t>Is functionality standard, configured, customized (paid), or not available?</t>
  </si>
  <si>
    <t>If functionality available, please provide details and explain how it must be configured or customized, if at all
If not available, please provide details, and indicate date it will be available if on product roadmap.</t>
  </si>
  <si>
    <t>SAM Tool</t>
  </si>
  <si>
    <t>Provision software/SaaS license</t>
  </si>
  <si>
    <t>Provision groups on-prem AD</t>
  </si>
  <si>
    <t>De-provision software/SaaS license</t>
  </si>
  <si>
    <t>Standard (native)</t>
  </si>
  <si>
    <t>De-provision groups on-prem AD</t>
  </si>
  <si>
    <t>Configure (within the tool - no additional cost)</t>
  </si>
  <si>
    <t>Custom field creation (end-user ability)</t>
  </si>
  <si>
    <t>Customize (develop a solution - invovles additional cost)</t>
  </si>
  <si>
    <t>App owner</t>
  </si>
  <si>
    <t>Not supported</t>
  </si>
  <si>
    <t>App contacts</t>
  </si>
  <si>
    <t>Abilty to track new Software Request (or integrate with a ticketing system)</t>
  </si>
  <si>
    <t>Ability to track new Renewals Request (or integrate with a ticketing system)</t>
  </si>
  <si>
    <t>1.10</t>
  </si>
  <si>
    <t>Approvals workflow of related software stakeholders (e.g., Sourcing, IT, Security, Legal, etc.)</t>
  </si>
  <si>
    <t>Ability to identify the software and Bill of Material</t>
  </si>
  <si>
    <t xml:space="preserve">Ability to capture and link Reseller with Application name and Publisher </t>
  </si>
  <si>
    <t>Ability to send alerts / notifications when a Vendor needs to be offboarded</t>
  </si>
  <si>
    <t>System Administration</t>
  </si>
  <si>
    <t>Granular user permissions</t>
  </si>
  <si>
    <t>Restrict user to specific apps</t>
  </si>
  <si>
    <t>Restrict PII data from user</t>
  </si>
  <si>
    <t>SAML SSO</t>
  </si>
  <si>
    <t>SCIM provisioning</t>
  </si>
  <si>
    <t>Usage analytics of the tool</t>
  </si>
  <si>
    <t>Can delete account / purge all data</t>
  </si>
  <si>
    <t>Disaster recovery plan</t>
  </si>
  <si>
    <t>Discovery</t>
  </si>
  <si>
    <t>Laptop/Desktop on-prem software discovery</t>
  </si>
  <si>
    <t>Agent available, optional, or required for discovery</t>
  </si>
  <si>
    <t>Ability to capture app version</t>
  </si>
  <si>
    <t>Ability to flag end-of-life (EOL) apps</t>
  </si>
  <si>
    <t>Server on-prem software discovery</t>
  </si>
  <si>
    <t>SaaS discovery: Direct integrations</t>
  </si>
  <si>
    <t>SaaS discovery: OneLogin SSO</t>
  </si>
  <si>
    <t>SaaS discovery: Okta SSO</t>
  </si>
  <si>
    <t>SaaS discovery: Google SSO / Social Sign-In</t>
  </si>
  <si>
    <t>3.10</t>
  </si>
  <si>
    <t>SaaS discovery: Network traffic</t>
  </si>
  <si>
    <t>SaaS discovery: Browser extension</t>
  </si>
  <si>
    <t>SaaS discovery: shadow SaaS detection</t>
  </si>
  <si>
    <t>License Optimization</t>
  </si>
  <si>
    <t>Metering software/SaaS application consumption</t>
  </si>
  <si>
    <t>30-Day Activity</t>
  </si>
  <si>
    <t>60-Day Activity</t>
  </si>
  <si>
    <t>90-Day Activity</t>
  </si>
  <si>
    <t>Custom last N-day activity</t>
  </si>
  <si>
    <t>Custom activity (ability to customize/define 'active user' definition)</t>
  </si>
  <si>
    <t>Track billable users separately from active users</t>
  </si>
  <si>
    <t>Number of direct integrations: usage / activity</t>
  </si>
  <si>
    <t>Number of direct integrations: source data (e.g., HR, spend)</t>
  </si>
  <si>
    <t>4.10</t>
  </si>
  <si>
    <t>Harvesting unused software/SaaS applications</t>
  </si>
  <si>
    <t>Bulk deprovisioning workflows</t>
  </si>
  <si>
    <t>User exception capabiltities</t>
  </si>
  <si>
    <t>Data backup capabilities</t>
  </si>
  <si>
    <t>Email notification functionality</t>
  </si>
  <si>
    <t>Slack notification functionality</t>
  </si>
  <si>
    <t>"What if" scenarios (out of compliance)</t>
  </si>
  <si>
    <t>Usage\Rightsize recommendations</t>
  </si>
  <si>
    <t>Customize default rightsizing definition</t>
  </si>
  <si>
    <t>Customize rightsizing definition per app</t>
  </si>
  <si>
    <t>4.20</t>
  </si>
  <si>
    <t>Ability to calculate software entitlements at the SKU level</t>
  </si>
  <si>
    <t>Reporting</t>
  </si>
  <si>
    <t>Dashboard to display (cost saving) opportunities</t>
  </si>
  <si>
    <t>Ability to create dashboards</t>
  </si>
  <si>
    <t>Ability to customize dashboards</t>
  </si>
  <si>
    <t>Predefined out of box reports, please explain</t>
  </si>
  <si>
    <t>Download/export filtered raw data to csv</t>
  </si>
  <si>
    <t>Download/export reports</t>
  </si>
  <si>
    <t>Filter by date window</t>
  </si>
  <si>
    <t>Spend by Vendor</t>
  </si>
  <si>
    <t>Spend by Teams/Cost Centers</t>
  </si>
  <si>
    <t>5.10</t>
  </si>
  <si>
    <t>Spend by executive</t>
  </si>
  <si>
    <t>Spend by manager</t>
  </si>
  <si>
    <t>Spend by location</t>
  </si>
  <si>
    <t>Spend by user</t>
  </si>
  <si>
    <t>Spend by device</t>
  </si>
  <si>
    <t>Spend by custom heirarchy (using Workday as source of truth)</t>
  </si>
  <si>
    <t>Apps by Vendor</t>
  </si>
  <si>
    <t>Apps by Teams/Cost Centers</t>
  </si>
  <si>
    <t>Apps by executive</t>
  </si>
  <si>
    <t>Apps by manager</t>
  </si>
  <si>
    <t>5.20</t>
  </si>
  <si>
    <t>Apps by location</t>
  </si>
  <si>
    <t>Apps by custom heirarchy (using Workday as source of truth)</t>
  </si>
  <si>
    <t>Apps by user</t>
  </si>
  <si>
    <t>Apps by device</t>
  </si>
  <si>
    <t>App multi-instance visibility</t>
  </si>
  <si>
    <t>Compare overlapping usage between apps</t>
  </si>
  <si>
    <t>Application by category</t>
  </si>
  <si>
    <t>Ability to customize application category</t>
  </si>
  <si>
    <t>Custom reports created by users</t>
  </si>
  <si>
    <t>Tool is able to normalize raw data into meaningful usable data</t>
  </si>
  <si>
    <t>5.30</t>
  </si>
  <si>
    <t>Software by version</t>
  </si>
  <si>
    <t>Software by Title</t>
  </si>
  <si>
    <t>Contract parsing and reporting</t>
  </si>
  <si>
    <t>Contract renewal timeline</t>
  </si>
  <si>
    <t>Ability to send automated renewal alerts / notifications</t>
  </si>
  <si>
    <t>Contract metadata storage</t>
  </si>
  <si>
    <t>Report on apps where we have more licenses used than purchased (compliance)</t>
  </si>
  <si>
    <t>Report on apps which are approaching our purchased license allocation (compliance)</t>
  </si>
  <si>
    <t>Usage trends over time (time-series graph)</t>
  </si>
  <si>
    <t>Usage trends by team over time (time-series graph)</t>
  </si>
  <si>
    <t>5.40</t>
  </si>
  <si>
    <t>License Usage Report vs Entitlements</t>
  </si>
  <si>
    <t>Ability to create custom Compliance Reports (to track compliance for any general contract terms)</t>
  </si>
  <si>
    <t>Ability to track software vendor performance (uptime, downtime, latency, etc.)</t>
  </si>
  <si>
    <t>Ability to report on supplier risk</t>
  </si>
  <si>
    <t>Ability to integrate with ServiceNow - Pull Supplier Risk metadata</t>
  </si>
  <si>
    <t>Integrations</t>
  </si>
  <si>
    <t>Endpoint tools</t>
  </si>
  <si>
    <t>Ability for tool to pull data from Uber (systems listed below)</t>
  </si>
  <si>
    <t>Ability to access/ingest data from FleetDM (osquery, hadoop database)</t>
  </si>
  <si>
    <t>Ability to access/ingest data from VMware WorkSpaceOne</t>
  </si>
  <si>
    <t>Ability to access/ingest data from Puppet</t>
  </si>
  <si>
    <t>Ability to access/ingest data from Rapid7</t>
  </si>
  <si>
    <t>- OR able to discover Windows/macOS/ChromeOS</t>
  </si>
  <si>
    <t>Ability to ingest data via csv</t>
  </si>
  <si>
    <t>SSO</t>
  </si>
  <si>
    <t>Ability to integrate with OneLogin</t>
  </si>
  <si>
    <t>Ability to integrate with OneLogin - Activity Metrics</t>
  </si>
  <si>
    <t>Ability to integrate with Google Social - Logins</t>
  </si>
  <si>
    <t>Spend</t>
  </si>
  <si>
    <t>Ability to integrate with Coupa</t>
  </si>
  <si>
    <t>Ability to integrate to Oracle</t>
  </si>
  <si>
    <t>Ability to ingest via API endpoint</t>
  </si>
  <si>
    <t>Ability to pull and parse from SFTP</t>
  </si>
  <si>
    <t>Ability to capture Spend Metadata: Vendor Name</t>
  </si>
  <si>
    <t>Ability to capture Spend Metadata: Publisher Name</t>
  </si>
  <si>
    <t>Ability to capture Spend Metadata: License Cost</t>
  </si>
  <si>
    <t>Ability to capture Spend Metadata: GL Account Number</t>
  </si>
  <si>
    <t>Ability to capture Spend Metadata: Cost Center</t>
  </si>
  <si>
    <t>8.10</t>
  </si>
  <si>
    <t>Ability to capture Spend Metadata: PO Number</t>
  </si>
  <si>
    <t>Ability to capture Spend Metadata: Invoice Number</t>
  </si>
  <si>
    <t>Ability to capture Spend Metadata: Ticketing Service Request Number</t>
  </si>
  <si>
    <t>Ability to capture Spend Metadata: Annual spend</t>
  </si>
  <si>
    <t>Ability to capture Spend Metadata: Annual PO vs. One time PO covering whole contract period</t>
  </si>
  <si>
    <t>Software Catalog</t>
  </si>
  <si>
    <t>Ability to integrate with ServiceNow</t>
  </si>
  <si>
    <t>Ability to integrate with ServiceNow - Push Entitlement Metrics</t>
  </si>
  <si>
    <t>Ability to integrate with ServiceNow - Push Contract Metadata</t>
  </si>
  <si>
    <t>Organizational Data</t>
  </si>
  <si>
    <t>Ability to integrate with Workday</t>
  </si>
  <si>
    <t>Ability to integrate with Active Directory</t>
  </si>
  <si>
    <t>Contract Management</t>
  </si>
  <si>
    <t>Ability to integrate with DocuSignCLM</t>
  </si>
  <si>
    <t>Ability to integrate with DocuSignCLM - Read Contract Metadata</t>
  </si>
  <si>
    <t>Ability to store Contract Metadata: Contract Number</t>
  </si>
  <si>
    <t>Ability to store Contract Metadata: Contract Start Date</t>
  </si>
  <si>
    <t>Ability to store Contract Metadata: Contract End Date</t>
  </si>
  <si>
    <t>Ability to store Contract Metadata: Contract Period</t>
  </si>
  <si>
    <t>Ability to store Contract Metadata: Contract Agreement Type</t>
  </si>
  <si>
    <t>Ability to store Contract Metadata: Contract Total Value</t>
  </si>
  <si>
    <t>Ability to capture cost changes during a contract renewal and the reason of cost change (e.g., scope reduction, scope addition, or supplier increase request etc.)</t>
  </si>
  <si>
    <t>API</t>
  </si>
  <si>
    <t>API for Uber to pull data from tool</t>
  </si>
  <si>
    <t>API to publish engagement data (e.g., for an internal app)</t>
  </si>
  <si>
    <t>API to push data (e.g., into different fields)</t>
  </si>
  <si>
    <t>Functional / Technical</t>
  </si>
  <si>
    <t>Business Priority (High/Medium/Low)</t>
  </si>
  <si>
    <r>
      <rPr>
        <rFont val="Roboto"/>
        <b/>
        <color theme="0"/>
        <sz val="10.0"/>
      </rPr>
      <t xml:space="preserve">"Vendor ability to support" - </t>
    </r>
    <r>
      <rPr>
        <rFont val="Roboto"/>
        <b/>
        <color rgb="FFFF0000"/>
        <sz val="10.0"/>
      </rPr>
      <t>To select relevant dropdown</t>
    </r>
  </si>
  <si>
    <t>Functional</t>
  </si>
  <si>
    <t>High</t>
  </si>
  <si>
    <t>Yes, Zluri's SAM tool includes the ability to provision and deprovision software/SaaS licenses. Our platform provides 100% visibility, optimization, and tracking of licenses, along with automation of provisioning and deprovisioning processes. This ensures efficient management of software assets and helps maintain compliance and cost-effectiveness within your organization.</t>
  </si>
  <si>
    <t>Technical</t>
  </si>
  <si>
    <t xml:space="preserve">Provisioning and De-provisioning with on-prem AD is a part of our Road Map and currently in testing phase, by the time uber get onboarded, it will be live. </t>
  </si>
  <si>
    <t>Yes, our SAM tool supports the de-provisioning of software/SaaS licenses. Zluri provides a comprehensive platform that includes automation of provisioning and de-provisioning processes. This feature is part of our commitment to offering 100% visibility, optimization, and tracking of licenses, ensuring efficient management of your software assets.</t>
  </si>
  <si>
    <t>Medium</t>
  </si>
  <si>
    <t>Yes, our Software Asset Management (SAM) tool allows end-users to create custom fields. You can add custom fields to applications, users, departments, and transactions to store additional information relevant to these entities. The custom fields you create will appear in the respective entity's overview screen, providing flexibility and customization to meet your organization's specific needs.</t>
  </si>
  <si>
    <t>Ability to track app owners</t>
  </si>
  <si>
    <t>Yes, our Software Asset Management (SAM) tool includes the capability to track application owners. Zluri's Application Management module provides ownership tracking, which maps application owners to help with accountability and governance. This feature is part of our comprehensive approach to managing applications effectively.</t>
  </si>
  <si>
    <t>Ability to track app contacts</t>
  </si>
  <si>
    <t>With Zluri you can have custom fields for Applications where additionally you can store these kind of information</t>
  </si>
  <si>
    <t>Ability to track new Software Request (or integrate with a ticketing system)</t>
  </si>
  <si>
    <t>Yes, Zluri's SAM tool has the capability to track new software requests. Users can utilize an app request catalog to fill out forms when they need new licenses for specific roles or permissions. This process can also be automated through triggers that auto-reject requests if they do not meet certain criteria, such as not being in a specific role. Additionally, this functionality is available through platforms like Slack, enhancing accessibility and efficiency in managing software requests. 
Additionally, if the approval process lie in your ticketing system, you would be able to follow the same approval process and call Zluri's APIs to trigger the access request to provision the user into the required application.</t>
  </si>
  <si>
    <t>Zluri's SaaS Management Platform is equipped to track existing contracts and provide reminders for upcoming renewals. We offer proactive contract monitoring with true-ups tracking and time-based notifications to ensure you are prepared for renewals.</t>
  </si>
  <si>
    <t xml:space="preserve">Zluri does not have a procurement workflow however we have fields where you can record approval from various stakeholders for tracking purposes. </t>
  </si>
  <si>
    <t>Zluri Integrates with the likes of Quickbooks, Netsuite and Coupa to identify software spend and transactions and map them to the applications directly. This ensures you have visibility to both the cost and spend aspect of the application. We also have the option to upload the spend manually via CSV files</t>
  </si>
  <si>
    <t>Zluri has a dedicated vendor module which shows all the applications procured via that reseller/vendor. You would be able to create multiple vendor with their details and link them to the application. The vendor module will also give you overall view of the contracts and the cost of applications procured via them</t>
  </si>
  <si>
    <t>Zluri does not have a vendor offboarding flow</t>
  </si>
  <si>
    <r>
      <rPr>
        <rFont val="Roboto"/>
        <color rgb="FF000000"/>
        <sz val="10.0"/>
      </rPr>
      <t xml:space="preserve">Yes, our system administration feature includes granular user permissions. We offer several user roles to manage access and responsibilities effectively:
</t>
    </r>
    <r>
      <rPr>
        <rFont val="Roboto"/>
        <b/>
        <color rgb="FF000000"/>
        <sz val="10.0"/>
      </rPr>
      <t>Admin</t>
    </r>
    <r>
      <rPr>
        <rFont val="Roboto"/>
        <color rgb="FF000000"/>
        <sz val="10.0"/>
      </rPr>
      <t xml:space="preserve">: Multiple admins can be added to Zluri, &amp; these admins have access to all modules &amp; privileges to carry out day-to-day administrative tasks. 
</t>
    </r>
    <r>
      <rPr>
        <rFont val="Roboto"/>
        <b/>
        <color rgb="FF000000"/>
        <sz val="10.0"/>
      </rPr>
      <t>Viewer</t>
    </r>
    <r>
      <rPr>
        <rFont val="Roboto"/>
        <color rgb="FF000000"/>
        <sz val="10.0"/>
      </rPr>
      <t xml:space="preserve">: Admins can add any user with a 'Viewer role' with read-only access to all modules. Cannot take any specific action.
</t>
    </r>
    <r>
      <rPr>
        <rFont val="Roboto"/>
        <b/>
        <color rgb="FF000000"/>
        <sz val="10.0"/>
      </rPr>
      <t>IT Admin</t>
    </r>
    <r>
      <rPr>
        <rFont val="Roboto"/>
        <color rgb="FF000000"/>
        <sz val="10.0"/>
      </rPr>
      <t xml:space="preserve">: Users with IT Admin roles can access all modules except the Transactions module. They can add applications and users, assign users to applications, add departments, add users to departments, assign owners to applications, etc. 
</t>
    </r>
    <r>
      <rPr>
        <rFont val="Roboto"/>
        <b/>
        <color rgb="FF000000"/>
        <sz val="10.0"/>
      </rPr>
      <t>Finance Admin</t>
    </r>
    <r>
      <rPr>
        <rFont val="Roboto"/>
        <color rgb="FF000000"/>
        <sz val="10.0"/>
      </rPr>
      <t xml:space="preserve">: Users with this role have access only to the Overview module, Transactions module &amp; the Integrations module in Zluri. They can add transactions, map those transactions to applications &amp; archive transactions, etc.
</t>
    </r>
    <r>
      <rPr>
        <rFont val="Roboto"/>
        <b/>
        <color rgb="FF000000"/>
        <sz val="10.0"/>
      </rPr>
      <t>Procurement Admin</t>
    </r>
    <r>
      <rPr>
        <rFont val="Roboto"/>
        <color rgb="FF000000"/>
        <sz val="10.0"/>
      </rPr>
      <t xml:space="preserve">: Users with this role have access only to the Overview module, Transactions module &amp; the Licenses modules in Zluri.
</t>
    </r>
    <r>
      <rPr>
        <rFont val="Roboto"/>
        <b/>
        <color rgb="FF000000"/>
        <sz val="10.0"/>
      </rPr>
      <t>Integration Admin</t>
    </r>
    <r>
      <rPr>
        <rFont val="Roboto"/>
        <color rgb="FF000000"/>
        <sz val="10.0"/>
      </rPr>
      <t xml:space="preserve">: Users with this role have access only to the Integration and Workflow modules.
</t>
    </r>
    <r>
      <rPr>
        <rFont val="Roboto"/>
        <b/>
        <color rgb="FF000000"/>
        <sz val="10.0"/>
      </rPr>
      <t>Security Admin</t>
    </r>
    <r>
      <rPr>
        <rFont val="Roboto"/>
        <color rgb="FF000000"/>
        <sz val="10.0"/>
      </rPr>
      <t xml:space="preserve">: Users with this role have access only to the Security module, Reports module, and Application Overview modules.
</t>
    </r>
    <r>
      <rPr>
        <rFont val="Roboto"/>
        <b/>
        <color rgb="FF000000"/>
        <sz val="10.0"/>
      </rPr>
      <t>Budget Admin</t>
    </r>
    <r>
      <rPr>
        <rFont val="Roboto"/>
        <color rgb="FF000000"/>
        <sz val="10.0"/>
      </rPr>
      <t xml:space="preserve">: Users with this role have access only to the chargebacks, contract management and employee app catalog modules. 
</t>
    </r>
    <r>
      <rPr>
        <rFont val="Roboto"/>
        <b/>
        <color rgb="FF000000"/>
        <sz val="10.0"/>
      </rPr>
      <t>Super User</t>
    </r>
    <r>
      <rPr>
        <rFont val="Roboto"/>
        <color rgb="FF000000"/>
        <sz val="10.0"/>
      </rPr>
      <t xml:space="preserve">: Users with this role can access all modules except Audit Logs and Settings.
</t>
    </r>
    <r>
      <rPr>
        <rFont val="Roboto"/>
        <b/>
        <color rgb="FF000000"/>
        <sz val="10.0"/>
      </rPr>
      <t>IT Viewer</t>
    </r>
    <r>
      <rPr>
        <rFont val="Roboto"/>
        <color rgb="FF000000"/>
        <sz val="10.0"/>
      </rPr>
      <t xml:space="preserve">: Users with this role have read-only access to the Overview module, Applications module, Users module and Departments module.
</t>
    </r>
    <r>
      <rPr>
        <rFont val="Roboto"/>
        <b/>
        <color rgb="FF000000"/>
        <sz val="10.0"/>
      </rPr>
      <t>Owner</t>
    </r>
    <r>
      <rPr>
        <rFont val="Roboto"/>
        <color rgb="FF000000"/>
        <sz val="10.0"/>
      </rPr>
      <t>: Users with an admin role won't be able to assign an owner role to any user. The owner can access all the modules and have write permissions.
These roles ensure that users have the appropriate level of access and control based on their responsibilities, enhancing security and operational efficiency.</t>
    </r>
  </si>
  <si>
    <t>Ability to restrict user access to specific apps</t>
  </si>
  <si>
    <t xml:space="preserve">Zluri provides an option to remove user access as a part of our Access Management module and continuous optimization. Admins can run workflows to remove user access and also block access if required via CASBs too. 
Zluri can additionally notify the admins and the end user if they try to access the restricted applications. </t>
  </si>
  <si>
    <t>Ability to restrict PII data access from users</t>
  </si>
  <si>
    <t>Yes, our system is designed to restrict access to Personally Identifiable Information (PII) by implementing app-specific access roles. This ensures that users only see data relevant to their roles. For instance, a finance admin would only have access to finance-related data. This approach enhances data privacy and security by ensuring that administrators only access the information necessary for their roles, thereby preventing unnecessary exposure to PII.</t>
  </si>
  <si>
    <t>Yes, Zluri supports SAML Single Sign-On (SSO).</t>
  </si>
  <si>
    <t xml:space="preserve">Zluri does not support SCIM provisioning. We can understand the use case and discuss the solution. </t>
  </si>
  <si>
    <t>Ability to track detailed usage and other analytics for users of the SAM tool</t>
  </si>
  <si>
    <t xml:space="preserve">Zluri does have a dedicated module where we capture audit log of all the users who access the system. Audit Logs section of Zluri allows you to view a full history of all actions taken inside your Zluri instance, and more granular details about them. These records can help you monitor activity on your domain, get a full picture of actions being taken and stay informed of the responsible parties. </t>
  </si>
  <si>
    <r>
      <rPr>
        <rFont val="Roboto"/>
        <color rgb="FF000000"/>
        <sz val="10.0"/>
      </rPr>
      <t xml:space="preserve">Yes, Customers retain ownership of their data and can request its deletion after the termination of the contract. We adhere to NIST 800-88 standards for data disposal and have a policy to delete or return all personal and confidential data at the end of processing services. For more detailed information, please refer to our </t>
    </r>
    <r>
      <rPr>
        <rFont val="Roboto"/>
        <color rgb="FF1155CC"/>
        <sz val="10.0"/>
        <u/>
      </rPr>
      <t>data deletion policy</t>
    </r>
    <r>
      <rPr>
        <rFont val="Roboto"/>
        <color rgb="FF000000"/>
        <sz val="10.0"/>
      </rPr>
      <t>.</t>
    </r>
  </si>
  <si>
    <t>Provider has a robust disaster recovery plan</t>
  </si>
  <si>
    <t>Yes, we have a robust disaster recovery plan in place. Our Business Continuity Plan includes the encrypted backup and recovery of systems and data, which are stored in an off-site facility protected against potential disasters. We perform differential backups and test our Disaster Recovery Plan annually. Our IT Team and ISG are responsible for implementing and following this policy, ensuring that our systems and services can be maintained without affecting global service availability, achieving 99.99% reliability.</t>
  </si>
  <si>
    <t>Must maintain 99.9% or higher uptime SLA and include monitoring dashboards/alerts to detect performance bottlenecks in real time.</t>
  </si>
  <si>
    <t>We maintain a high availability architecture with an uptime guarantee of 99.98%. Our infrastructure is hosted on AWS, utilizing auto-scaling groups and Cloudflare edge locations to ensure consistent service delivery. We have monitoring systems in place to detect performance bottlenecks in real time. These systems include utilization monitoring of key resources, system tuning, and detective controls to identify and address potential issues promptly. Additionally, we offer a SaaS Management Platform that provides visibility into various aspects of your organization, including availability metrics.</t>
  </si>
  <si>
    <t>Laptop/Desktop, on-prem servers, VMs, cloud software discovery</t>
  </si>
  <si>
    <t>Zluri partially fulfills this use case. We can discover Laptop/Desktop device details (Name and Serial Numbers) via select MDMs.</t>
  </si>
  <si>
    <t>Low</t>
  </si>
  <si>
    <r>
      <rPr>
        <rFont val="Roboto"/>
        <color rgb="FF000000"/>
        <sz val="10.0"/>
      </rPr>
      <t xml:space="preserve">Yes. 
Zluri provides desktop agents on Mac and Windows. These agents are able to discover onprem / downloaded applications to track the usage of these applications. - </t>
    </r>
    <r>
      <rPr>
        <rFont val="Roboto"/>
        <color rgb="FF1155CC"/>
        <sz val="10.0"/>
        <u/>
      </rPr>
      <t>https://help.zluri.com/docs/desktop-agents</t>
    </r>
    <r>
      <rPr>
        <rFont val="Roboto"/>
        <color rgb="FF000000"/>
        <sz val="10.0"/>
      </rPr>
      <t xml:space="preserve">
Zluri also has browser agents which can additionally detect websites, plugins and browser's extensions. 
</t>
    </r>
    <r>
      <rPr>
        <rFont val="Roboto"/>
        <color rgb="FF1155CC"/>
        <sz val="10.0"/>
        <u/>
      </rPr>
      <t>https://help.zluri.com/docs/browser-agents</t>
    </r>
  </si>
  <si>
    <t>Zluri can store this information in a custom field. This information can be manually updated</t>
  </si>
  <si>
    <t>Zluri provides desktop agents on Mac and Windows. These agents are able to discover onprem / downloaded applications to track the usage of these applications. - https://help.zluri.com/docs/desktop-agents</t>
  </si>
  <si>
    <t>Zluri offers direct integrations for SaaS discovery through multiple methods, including:
1. Single Sign-On (SSO)
2. Human Resource Management Systems (HRMS)
3. Browser and Desktop Agents
4. Financial Tools
5. Mobile Device Management (MDMs)
6. Cloud Access Security Brokers (CASBs)
7. Contract Lifecycle Management (CLM)
8. Zluri SDKs
These integrations enable comprehensive software asset management by automatically tracking new software purchases and transactions, maintaining an up-to-date inventory, and ensuring accurate license management.</t>
  </si>
  <si>
    <t>Yes, we support SaaS discovery through Onelogin SSO</t>
  </si>
  <si>
    <t>Yes, we support SaaS discovery through Okta SSO</t>
  </si>
  <si>
    <t>Yes, we support SaaS discovery through GWS SSO and Social Sign In</t>
  </si>
  <si>
    <t>We will have to discuss this based on the use case and scope for Zscaler. We have done this for other customers. The reason it is customizable is because the manner os setup for these CASBs are different for each customers. Direct integration with CASB is feasible today, if other network traffic integrations~customization roadmap needed.</t>
  </si>
  <si>
    <t xml:space="preserve">Yes, Zluri offers a browser extension, for SaaS discovery. These browser agents monitor SaaS web app usage by analyzing website URLs and titles of open tabs. They classify each web app launch as an activity and aggregate each user's app activity data daily. This data is then fed to Zluri for analysis, allowing you to access and evaluate these insights through the Zluri dashboard. Our browser agents support all major browsers, including Google Chrome, Microsoft Edge, Mozilla Firefox. </t>
  </si>
  <si>
    <t>Zluri effectively detects shadow SaaS applications through a comprehensive approach that includes multiple discovery methods. We utilize SSO, direct integration, HRMS, CLMs, Browser and Desktop agents, Financial Tool Integration, CASBs, MDMs, and Zluri SDKs to identify both sanctioned and unsanctioned software within your environment.
Our solution discovers all applications used within your organization, including third-party applications accessed via SSO. The Browser and Desktop agents provide insights into application discovery and usage. Additionally, through financial tool integration, administrators can manage spending on managed applications and monitor purchases of unvetted applications.
With Zluri, administrators receive notifications upon the discovery of new applications in your SaaS environment and can continuously monitor and track unauthorized application usage or purchases.</t>
  </si>
  <si>
    <t xml:space="preserve">Must validate discovery data against authoritative sources (e.g., vendor SKU repositories) to ensure correctness and reduce duplicate/erroneous entries
</t>
  </si>
  <si>
    <t>This use case can be discussed and a custom solution can be provided</t>
  </si>
  <si>
    <t xml:space="preserve">Yes, Zluri provides SaaS application consumption. This information would include license information across applications that you use. </t>
  </si>
  <si>
    <t>Ability to track and visualize 30-Day Activity</t>
  </si>
  <si>
    <t>Yes, our system can track and visualize 30-Day Activity for software and SaaS applications. Zluri provides insights into user activity patterns, allowing you to monitor and manage unused licenses by identifying users who haven't accessed your applications within the last 30 days. This feature helps in optimizing license management and identifying cost-saving opportunities. Additionally, our App Insights feature offers a detailed list of inactive users, enabling you to take appropriate actions to optimize your licenses effectively.</t>
  </si>
  <si>
    <t>Ability to track and visualize 60-Day Activity</t>
  </si>
  <si>
    <t>Yes, our solution has the capability to track and visualize 60-day activity for software and SaaS applications. Zluri can notify admins based on application utilization, tracking the last activity and usage for each application. These notifications can be scheduled for weekly or monthly alerts, and activity/usage patterns can be monitored for 30, 60, or 90-day thresholds. This is achieved through automated check-ins with specific users who are not utilizing their licenses over a specified interval of time.</t>
  </si>
  <si>
    <t>Ability to track and visualize 90-Day Activity</t>
  </si>
  <si>
    <t>Yes, our system can track and visualize 90-day activity for software and SaaS applications. Zluri provides automated check-ins to monitor application utilization and user activity over 30, 60, and 90-day thresholds. This feature allows administrators to receive scheduled notifications, either weekly or monthly, about user activity and application usage. This helps in identifying inactive users and optimizing license management effectively.</t>
  </si>
  <si>
    <t>Ability to track and visualize a custom last N-day activity</t>
  </si>
  <si>
    <t>Zluri offers the capability to track and visualize software and SaaS application activity over custom periods, such as the last 30, 60, or 90 days. This is achieved through automated check-ins with users, allowing us to monitor application utilization based on their last activity and usage patterns. These insights can be scheduled for weekly or monthly alerts, providing a comprehensive view of software usage over the specified timeframes.</t>
  </si>
  <si>
    <t>Ability to customize activity (i.e., define a custom definition of an 'active user')</t>
  </si>
  <si>
    <t>Both</t>
  </si>
  <si>
    <t xml:space="preserve">We can discuss this use case in detail to provide a custom solution. </t>
  </si>
  <si>
    <t xml:space="preserve">More Information Required on how billable users are different from active users for different apps. </t>
  </si>
  <si>
    <r>
      <rPr>
        <rFont val="Roboto"/>
        <color rgb="FF000000"/>
        <sz val="10.0"/>
      </rPr>
      <t xml:space="preserve">Zluri integrates with approximately 300 applications. We can monitor usage applications that provide us the information else we can also monitor via our agents - </t>
    </r>
    <r>
      <rPr>
        <rFont val="Roboto"/>
        <color rgb="FF1155CC"/>
        <sz val="10.0"/>
        <u/>
      </rPr>
      <t>https://www.zluri.com/integrations</t>
    </r>
  </si>
  <si>
    <r>
      <rPr>
        <rFont val="Roboto"/>
        <color rgb="FF000000"/>
        <sz val="10.0"/>
      </rPr>
      <t xml:space="preserve">Zluri integrates with approximately 300 applications. </t>
    </r>
    <r>
      <rPr>
        <rFont val="Roboto"/>
        <color rgb="FF1155CC"/>
        <sz val="10.0"/>
        <u/>
      </rPr>
      <t>https://www.zluri.com/integrations</t>
    </r>
  </si>
  <si>
    <t>Yes, our solution supports harvesting unused software and SaaS applications. Zluri's platform is designed to help identify unused applications and optimize software usage. We provide a centralized dashboard that allows you to manage your SaaS applications efficiently. Our platform can detect unused licenses based on configurable settings, such as the number of days since last use or the percentage of usage. This enables you to identify potential savings and optimize your software spend by revoking or downgrading licenses as needed. Additionally, you can select an offboarding playbook  via our continuous optimization module to automate the process of removing or downgrading licenses, ensuring continuous optimization of your software assets.</t>
  </si>
  <si>
    <t>Yes, Zluri offers bulk deprovisioning workflows for software and SaaS applications. Our platform provides a wide range of onboarding and offboarding workflows that enable IT administrators to seamlessly provision and deprovision employees. This includes automating actions across 150+ applications with over 2000 automated actions. The workflows are designed to not only add or remove employees from applications but also to handle contextual actions such as license deprovisioning, ensuring a comprehensive and efficient process.</t>
  </si>
  <si>
    <t>User exception capabilities (e.g., exclude certain users, VIP users, legal hold users, from license reclamation workflow) on a per app basis</t>
  </si>
  <si>
    <t>Yes, our solution allows you to exclude certain users, such as VIP users or those on legal hold, from license reclamation workflows on a per-app basis.</t>
  </si>
  <si>
    <t>User exception capabilities (e.g., exclude certain users, VIP users, legal hold users, from license reclamation workflow) - ability to set default / bulk exception policies to multiple apps</t>
  </si>
  <si>
    <r>
      <rPr>
        <rFont val="Roboto"/>
        <color rgb="FF000000"/>
        <sz val="10.0"/>
      </rPr>
      <t xml:space="preserve">Yes, our solution allows you to exclude certain users, such as VIP users or those on legal hold, from license reclamation workflows on an Overall basis. This can be achieved using the 'Optimization Inclusion' option, which enables you to prevent optimization from running on specific roles or users.
Here's how it works:
1. </t>
    </r>
    <r>
      <rPr>
        <rFont val="Roboto"/>
        <b/>
        <color rgb="FF000000"/>
        <sz val="10.0"/>
      </rPr>
      <t>Customization</t>
    </r>
    <r>
      <rPr>
        <rFont val="Roboto"/>
        <color rgb="FF000000"/>
        <sz val="10.0"/>
      </rPr>
      <t xml:space="preserve">: You can add the 'Optimization Inclusion' column to the App Users and Users table. This column is not available by default in the Main view but can be added and saved as a Custom view.
2. </t>
    </r>
    <r>
      <rPr>
        <rFont val="Roboto"/>
        <b/>
        <color rgb="FF000000"/>
        <sz val="10.0"/>
      </rPr>
      <t>Exclusion Options</t>
    </r>
    <r>
      <rPr>
        <rFont val="Roboto"/>
        <color rgb="FF000000"/>
        <sz val="10.0"/>
      </rPr>
      <t xml:space="preserve">: Once added, you have four options to manage user optimization:
   - Exclude for Unused
   - Exclude for Unprovisioned
   - Exclude for all optimization
   - Include for Optimization
3. </t>
    </r>
    <r>
      <rPr>
        <rFont val="Roboto"/>
        <b/>
        <color rgb="FF000000"/>
        <sz val="10.0"/>
      </rPr>
      <t>Per-App Customization</t>
    </r>
    <r>
      <rPr>
        <rFont val="Roboto"/>
        <color rgb="FF000000"/>
        <sz val="10.0"/>
      </rPr>
      <t xml:space="preserve">: Changes made in the App Users table for a specific user will take precedence over the general Users module. This means you can exclude a user from optimization for a specific app while maintaining different settings for other apps.
4. </t>
    </r>
    <r>
      <rPr>
        <rFont val="Roboto"/>
        <b/>
        <color rgb="FF000000"/>
        <sz val="10.0"/>
      </rPr>
      <t>Bulk Updates</t>
    </r>
    <r>
      <rPr>
        <rFont val="Roboto"/>
        <color rgb="FF000000"/>
        <sz val="10.0"/>
      </rPr>
      <t>: You can also bulk update the Optimization Inclusion status of users through the user interface.
This flexibility ensures that you can tailor the optimization process to meet the specific needs of your organization, protecting critical users from unnecessary license reclamation.</t>
    </r>
  </si>
  <si>
    <t>Data backup capabilities (e.g., trigger backup of user data prior to license reclamation workflow)</t>
  </si>
  <si>
    <t xml:space="preserve">Zluri allows you to configure custom actions which can include triggering a backup action on the desired application via APIs (If the apps have them) before a reclamation workflow. </t>
  </si>
  <si>
    <t>Yes, our solution offers email notification functionality.</t>
  </si>
  <si>
    <t>Yes, our solution offers Slack notification functionality.</t>
  </si>
  <si>
    <t>Solution can be discussed based on "What if scenario"</t>
  </si>
  <si>
    <t>Usage\Right Size recommendations</t>
  </si>
  <si>
    <t>Zluri's solution provides comprehensive usage and rightsizing recommendations for software and SaaS applications. Our extensive license management and optimization module allows administrators to set up automatic actions and gain insights into license utilization. We offer recommendations on the number of licenses to procure based on historical usage data, which is detailed in our optimization reports. These reports help in better SaaS renewal negotiations by providing a breakdown of license usage by tier, identifying categories such as unassigned, underused, or no longer needed licenses. This enables effective rightsizing and forecasting of the optimal number of licenses required for each tier, ensuring efficient allocation and cost management.</t>
  </si>
  <si>
    <r>
      <rPr>
        <rFont val="Roboto"/>
        <color rgb="FF000000"/>
        <sz val="10.0"/>
      </rPr>
      <t xml:space="preserve">Yes, our dashboard displays cost-saving opportunities through the App Insights feature. This tool analyzes user activity patterns and license statuses to identify areas where you can optimize spending and improve license management. Key features include:
1. </t>
    </r>
    <r>
      <rPr>
        <rFont val="Roboto"/>
        <b/>
        <color rgb="FF000000"/>
        <sz val="10.0"/>
      </rPr>
      <t>Inactive User Detection</t>
    </r>
    <r>
      <rPr>
        <rFont val="Roboto"/>
        <color rgb="FF000000"/>
        <sz val="10.0"/>
      </rPr>
      <t xml:space="preserve">: Identifies users who haven't accessed your applications within the last 30/60/90 days, showing the total number of inactive users and calculating potential cost savings from unused licenses.
2. </t>
    </r>
    <r>
      <rPr>
        <rFont val="Roboto"/>
        <b/>
        <color rgb="FF000000"/>
        <sz val="10.0"/>
      </rPr>
      <t>Deprovisioning Opportunities</t>
    </r>
    <r>
      <rPr>
        <rFont val="Roboto"/>
        <color rgb="FF000000"/>
        <sz val="10.0"/>
      </rPr>
      <t>: Flags mismatches between your primary source and application licenses, such as users marked as inactive in SSO but still holding active licenses, highlighting associated potential cost savings.
Each insight includes a "Review Now" button, allowing you to review the full list of affected users, validate suggested changes, and take appropriate action to optimize your licenses.</t>
    </r>
  </si>
  <si>
    <t xml:space="preserve">Our platform offers hyper-customizable reports that can be tailored based on users, licenses, and applications. </t>
  </si>
  <si>
    <t>Zluri has the ability to auto-generate highly customized reports at the frequency you wish. At the software application level and the user level, there are a plethora of data points which can be customized into desired columns and filtered according to your requirements. These reports can be saved and/or you can schedule these reports (daily, weekly, monthly, yearly) to receive them in your inbox in intervals. We also have predefined standard reports which can also be scheduled. Thus, admins have a seamless experience which allows them to monitor applications, licenses, user activity, contracts, renewals, budgets allocated across departments and application / license optimization. The laundry list of reporting customization allows for an easy experience generating whichever reports are relevant to the organization.</t>
  </si>
  <si>
    <t>Yes, users can download or export filtered raw data to CSV format.</t>
  </si>
  <si>
    <t>Yes, it is possible to download or export reports from our system.</t>
  </si>
  <si>
    <t>Yes, Zluri allows filtering by date window in reports. Users can filter transactions for a specific date, before a specific date, after a specific date, or within a date range. This feature provides flexibility in viewing and analyzing transaction data according to your needs.</t>
  </si>
  <si>
    <t>Yes, you can track spend information by vendor</t>
  </si>
  <si>
    <t>Yes, our system provides comprehensive reports on spend by teams or cost centers. Our solution includes the following capabilities:</t>
  </si>
  <si>
    <t xml:space="preserve">Zluri allows you to view all the spends associated to a user and the applications associated to them. This can also be looked into at their  department level as well. </t>
  </si>
  <si>
    <t>Zluri allows you to view all the spends associated to a department per application. This can also be looked into at a user level where their location is mentioned</t>
  </si>
  <si>
    <t>Zluri allows you to view all the spends associated to a user and the applications associated to them</t>
  </si>
  <si>
    <t>Spend by custom hierarchy (using Workday as source of truth)</t>
  </si>
  <si>
    <t>With Zluri can configure the team's hierarchy based on your HRMS system and the answer is same above answers (76-79)</t>
  </si>
  <si>
    <t>Apps by custom hierarchy (using Workday as source of truth)</t>
  </si>
  <si>
    <t>Yes, Zluri offers visibility into app multi-instances. Our platform consolidates multiple app instances, providing comprehensive insights and control over your SaaS stack. This feature enables organizations to effectively monitor and manage user access and spending across various applications.</t>
  </si>
  <si>
    <t>Basis the requirement, Zluri would be able to design a solution for the given use case</t>
  </si>
  <si>
    <t>Yes, our system provides reports on applications by category. Zluri's SaaS application features a category-based dashboard that automatically classifies the total number of applications within specific categories. This dashboard also specifies the number of users and shows their related spends, offering a comprehensive view of your software assets.</t>
  </si>
  <si>
    <r>
      <t xml:space="preserve">Users cannot create their own application categories in our system. However, they can add tags or custom fields to applications for custom classification. Our current database of app categories is sourced from G2, and users can view these categories to classify apps. For more information on our integration categories, please visit our </t>
    </r>
    <r>
      <rPr>
        <rFont val="Roboto"/>
        <color rgb="FF1155CC"/>
        <sz val="10.0"/>
        <u/>
      </rPr>
      <t>integration page</t>
    </r>
    <r>
      <rPr>
        <rFont val="Roboto"/>
        <color rgb="FF000000"/>
        <sz val="10.0"/>
      </rPr>
      <t>.</t>
    </r>
  </si>
  <si>
    <t>Yes, our system allows users to create custom reports. Zluri provides the capability to auto-generate highly customized reports at your desired frequency. You can customize data points into specific columns and apply filters according to your requirements. These reports can be saved and scheduled to be delivered to your inbox at intervals such as daily, weekly, monthly, or yearly. Additionally, we offer predefined standard reports that can also be scheduled, ensuring a seamless experience for monitoring applications, licenses, user activity, contracts, renewals, and budgets.</t>
  </si>
  <si>
    <t>Yes, our system is capable of normalizing raw data into meaningful, usable data. Zluri automatically normalizes data from multiple datasets into a single, accurate dashboard. This allows you to effectively manage your applications, licenses, vendors, contracts, and spending. Our solution ensures that the data is consolidated and presented in a way that is easy to interpret and utilize for decision-making.</t>
  </si>
  <si>
    <t>Zluri provides custom fields to capture additional data which can be used in reports as well</t>
  </si>
  <si>
    <t>Yes, our system offers contract parsing and reporting capabilities. The Contracts PDF Upload feature allows users to seamlessly upload multiple contract documents in PDF format. This process is streamlined by automatically parsing information from the documents, which saves time compared to manual entry. Once the PDF document is processed, users can review and edit the draft information before adding it to the system. This feature enhances productivity and ensures accurate contract management.</t>
  </si>
  <si>
    <t>Yes, our system provides comprehensive contract renewal timeline reports. Zluri features a dedicated contract module that includes a renewal calendar, offering a snapshot of key contract dates throughout the year. Additionally, our system can detect when a software application is nearing expiration and send customizable alerts to the relevant owners. These alerts can be configured for different applications and can be sent to multiple administrators simultaneously, ensuring timely and effective contract management.</t>
  </si>
  <si>
    <t>Yes, our system has the capability to send automated renewal alerts or notifications. Zluri features a dedicated contract module that includes a renewal calendar, providing a snapshot of key contract dates throughout the year. This module can automatically track contract renewal dates and send alert notifications. These alerts are customizable for different applications and can be sent to multiple administrators simultaneously, ensuring timely awareness and action.</t>
  </si>
  <si>
    <t>Ability to store and report on contract metadata</t>
  </si>
  <si>
    <t>Yes, our system can store and report on contract metadata. In Zluri, contract metadata includes essential details such as the contract name, type, owners, start and end dates, description, and vendors to name a few. This comprehensive metadata management allows for efficient tracking and reporting of contract-related information.</t>
  </si>
  <si>
    <t>Yes, our system can generate reports on license usage. Zluri offers dedicated modules that provide usage analytics and reporting capabilities. We automatically visualize and showcase the number of licenses utilized per department, along with the associated spend based on these licenses. Additionally, Zluri provides robust filters to help you visualize and generate custom reports on license assignments per department. These reports can be downloaded and scheduled according to your needs.</t>
  </si>
  <si>
    <t>Yes, our system provides reports that help track active user counts versus licensed users. This feature is designed to identify over-licensed or under-licensed situations, which is crucial for compliance purposes. By monitoring user engagement levels across applications, we ensure that you can manage your license allocations effectively and maintain compliance.</t>
  </si>
  <si>
    <t>Yes, our system can generate detailed usage trend reports over time. Zluri offers comprehensive reports on user engagement and usage patterns, which provide insights into trends via usage information from our agents. These reports are designed to help IT administrators identify areas for improvement and make informed decisions about resource allocation.</t>
  </si>
  <si>
    <t>Yes, Zluri can generate a time series graph based on usage information for the apps and also the agents</t>
  </si>
  <si>
    <t>Yes, Zluri offers a comprehensive license usage report compared to entitlements. Our solution includes an extensive license management and optimization module that provides insights into how licenses are being utilized. Additionally Zluiri stores role information from applications which can be utilized for these reports</t>
  </si>
  <si>
    <t xml:space="preserve">Yes, Zluri Provides the option of storing additional metadata for vendors via custom fields. This information can be exported as required. </t>
  </si>
  <si>
    <t>We provide an API to push data from various sources into different fields through our SDK. Zluri's SDK allows developers to push data from specific applications to Zluri, supporting both SaaS and on-premise applications. The SDK includes comprehensive error-handling mechanisms and supports monitoring and logging functionality to track sync information and failures.
Detailed SDK Documentation - https://help.zluri.com/docs/zluri-integration-sdk"</t>
  </si>
  <si>
    <t>Only Mac/Windows</t>
  </si>
  <si>
    <t xml:space="preserve">Yes, Zluri's platform supports data ingestion via CSV files. You can upload information such as user/application/contract and spend data. </t>
  </si>
  <si>
    <t xml:space="preserve">Yes, Zluri has the capability to integrate with OneLogin. </t>
  </si>
  <si>
    <t xml:space="preserve">Yes, Zluri supports integration with Google Workspace. </t>
  </si>
  <si>
    <t>Yes, Zluri has the ability to integrate with Coupa for spend management. This integration allows us to understand your SaaS expenditure and provide a comparative analysis of the computed cost versus the actual spends on each application.</t>
  </si>
  <si>
    <t>Yes, our solution supports ingesting spend data via an API endpoint. Zluri provides open APIs and SDKs that facilitate data injection into our platform, allowing seamless integration and data management.</t>
  </si>
  <si>
    <t xml:space="preserve">Zluri's SDK allows developers to push data from specific applications to Zluri, supporting both SaaS and on-premise applications. The SDK includes comprehensive error-handling mechanisms and supports monitoring and logging functionality to track sync information and failures.
Detailed SDK Documentation - https://help.zluri.com/docs/zluri-integration-sdk
Additionally you can also upload data via CSV. </t>
  </si>
  <si>
    <t>Yes, Zluri Provides the option of storing additional metadata for spends/transactions via custom fields</t>
  </si>
  <si>
    <t xml:space="preserve">Yes, Zluri gives you the option of adding license cost information for each license type for every application. </t>
  </si>
  <si>
    <t>Yes, our system can capture GL Account Numbers as part of spend metadata. Zluri is capable of ingesting invoices and purchase orders directly from Netsuite, and we can filter for specific GL codes relevant to software and IT. This ensures that only pertinent financial information is captured, aligning with your requirements for spend metadata.</t>
  </si>
  <si>
    <t>Yes, our solution has the capability to capture spend data for an application across months. This will be attributed to the year as well</t>
  </si>
  <si>
    <t xml:space="preserve">Zluri allows you to add spend data against each application. We can record spends against different type of models such as - Subscriptions, Contracts and Perpetual Contracts. </t>
  </si>
  <si>
    <t>Ability to integrate with existing ServiceNow CMDB</t>
  </si>
  <si>
    <r>
      <rPr>
        <rFont val="Roboto"/>
        <color rgb="FF000000"/>
        <sz val="10.0"/>
      </rPr>
      <t xml:space="preserve">Yes, Zluri provides an open API that allows customers to pull certain data from our tool. This API facilitates custom data integration, enabling seamless access to the information you need. Detailed API Documentation - </t>
    </r>
    <r>
      <rPr>
        <rFont val="Roboto"/>
        <color rgb="FF1155CC"/>
        <sz val="10.0"/>
        <u/>
      </rPr>
      <t>https://documenter.getpostman.com/view/14878368/2s8YzZQeoZ#intro</t>
    </r>
  </si>
  <si>
    <t>Yes, Zluri Integrates with Workday HRMS</t>
  </si>
  <si>
    <t>Yes, Zluri Integrates with Active Directory</t>
  </si>
  <si>
    <t>Yes, Zluri Integrates with DocuSign.</t>
  </si>
  <si>
    <t>Yes, Zluri has the capability to store custom contract metadata in custom fields, including the contract number.</t>
  </si>
  <si>
    <t>Yes, Zluri can store contract metadata, including the contract start date. y owner, and other relevant data.</t>
  </si>
  <si>
    <t xml:space="preserve">Yes, our system has the capability to store contract metadata, including the contract end date. </t>
  </si>
  <si>
    <t>Yes, Zluri can store contract metadata related to the contract period. This includes details such as the start and end date of the contract. This comprehensive metadata management helps in effectively tracking and managing contract periods.</t>
  </si>
  <si>
    <t>Yes, Zluri has the capability to store contract metadata, including the contract agreement type. The agreement type can be categorized as Master, SOW (Statement of Work), Service, True Up or others. This information is part of the contract details that can be managed within our platform.</t>
  </si>
  <si>
    <t>Yes, our system can store contract metadata related to the total contract value.</t>
  </si>
  <si>
    <t xml:space="preserve">Zluri allows you to create custom fields for you to capture additional information regarding an application. These type of information can be captured against an application. We can also add supporting documents to the contract to maintain records. </t>
  </si>
  <si>
    <t>Must offer RESTful APIs or GraphQL endpoints to facilitate bidirectional data exchange with third-party systems</t>
  </si>
  <si>
    <t>Yes, Zluri offers RESTful APIs that facilitate bidirectional data exchange with third-party systems. Our solution is capable of making API calls and can integrate with any tools that support REST APIs. Additionally, Zluri provides open APIs and supports webhooks, allowing for both data injection into our solution and data export to other repositories.</t>
  </si>
  <si>
    <r>
      <rPr>
        <rFont val="Roboto"/>
        <color rgb="FF000000"/>
        <sz val="10.0"/>
      </rPr>
      <t xml:space="preserve">Yes, Zluri provides an open API that allows customers to pull certain data from our tool. This API facilitates custom data integration, enabling seamless access to the information you need. Detailed API Documentation - </t>
    </r>
    <r>
      <rPr>
        <rFont val="Roboto"/>
        <color rgb="FF1155CC"/>
        <sz val="10.0"/>
        <u/>
      </rPr>
      <t>https://documenter.getpostman.com/view/14878368/2s8YzZQeoZ#intro</t>
    </r>
  </si>
  <si>
    <t>Yes, Zluri offers open APIs and SDKs that allow you to publish engagement data, including for internal apps. This capability enables seamless integration and data exchange with your existing systems.</t>
  </si>
  <si>
    <r>
      <rPr>
        <rFont val="Roboto"/>
        <color rgb="FF000000"/>
        <sz val="10.0"/>
      </rPr>
      <t xml:space="preserve">Yes, we provide an API to push data into different fields through our SDK. Zluri's SDK allows developers to push data from specific applications to Zluri, supporting both SaaS and on-premise applications. The SDK includes comprehensive error-handling mechanisms and supports monitoring and logging functionality to track sync information and failures.
Detailed SDK Documentation - </t>
    </r>
    <r>
      <rPr>
        <rFont val="Roboto"/>
        <color rgb="FF1155CC"/>
        <sz val="10.0"/>
        <u/>
      </rPr>
      <t>https://help.zluri.com/docs/zluri-integration-sdk</t>
    </r>
  </si>
  <si>
    <t>"Vendor ability to support"</t>
  </si>
  <si>
    <t>Vendor Comments</t>
  </si>
  <si>
    <t>Please list all existing SaaS software connectors, Note the type of connection available.</t>
  </si>
  <si>
    <r>
      <rPr>
        <b/>
      </rPr>
      <t xml:space="preserve">URL for Integrations - </t>
    </r>
    <r>
      <rPr>
        <b/>
        <color rgb="FF1155CC"/>
        <u/>
      </rPr>
      <t>https://www.zluri.com/integrations</t>
    </r>
  </si>
  <si>
    <t>Name of Vendor</t>
  </si>
  <si>
    <t>Type of connection:
source data</t>
  </si>
  <si>
    <t>Google Workspace</t>
  </si>
  <si>
    <t>Direct</t>
  </si>
  <si>
    <t>Zoho Books</t>
  </si>
  <si>
    <t>Okta</t>
  </si>
  <si>
    <t>Slack</t>
  </si>
  <si>
    <t>GitHub</t>
  </si>
  <si>
    <t>Todoist</t>
  </si>
  <si>
    <t>Azure AD</t>
  </si>
  <si>
    <t>Confluence</t>
  </si>
  <si>
    <t>Intuit QuickBooks</t>
  </si>
  <si>
    <t>Asana</t>
  </si>
  <si>
    <t>Zoom</t>
  </si>
  <si>
    <t>Dropbox</t>
  </si>
  <si>
    <t>Box</t>
  </si>
  <si>
    <t>OneLogin</t>
  </si>
  <si>
    <t>GitLab</t>
  </si>
  <si>
    <t>Zoho Expense</t>
  </si>
  <si>
    <t>Cloudflare</t>
  </si>
  <si>
    <t>AWS Management Console (IAM)</t>
  </si>
  <si>
    <t>Sentry</t>
  </si>
  <si>
    <t>Google Cloud Platform</t>
  </si>
  <si>
    <t>Wrike</t>
  </si>
  <si>
    <t>Zoho Analytics</t>
  </si>
  <si>
    <t>Freshchat</t>
  </si>
  <si>
    <t>Microsoft 365</t>
  </si>
  <si>
    <t>Adobe Creative Cloud</t>
  </si>
  <si>
    <t>Google Analytics</t>
  </si>
  <si>
    <t>Atlassian Admin</t>
  </si>
  <si>
    <t>Bitbucket</t>
  </si>
  <si>
    <t>Expensify</t>
  </si>
  <si>
    <t>Cisco Webex Meetings</t>
  </si>
  <si>
    <t>Microsoft Teams</t>
  </si>
  <si>
    <t>Bonusly</t>
  </si>
  <si>
    <t>Heroku</t>
  </si>
  <si>
    <t>Google Ads</t>
  </si>
  <si>
    <t>NetSuite (Legacy)</t>
  </si>
  <si>
    <t>GitLab (Self Managed)</t>
  </si>
  <si>
    <t>MongoDB</t>
  </si>
  <si>
    <t>Fireflies</t>
  </si>
  <si>
    <t>Smartsheet</t>
  </si>
  <si>
    <t>WordPress</t>
  </si>
  <si>
    <t>Google Workspace (Service Account)</t>
  </si>
  <si>
    <t>VictorOps</t>
  </si>
  <si>
    <t>Fastly</t>
  </si>
  <si>
    <t>EZOfficeInventory</t>
  </si>
  <si>
    <t>Sumo Logic</t>
  </si>
  <si>
    <t>Zeplin</t>
  </si>
  <si>
    <t>Eventbrite</t>
  </si>
  <si>
    <t>ShipStation</t>
  </si>
  <si>
    <t>Keap (formerly Infusionsoft)</t>
  </si>
  <si>
    <t>Bitwarden</t>
  </si>
  <si>
    <t>Aha!</t>
  </si>
  <si>
    <t>Notion</t>
  </si>
  <si>
    <t>TeamViewer</t>
  </si>
  <si>
    <t>Microsoft Cloud App Security</t>
  </si>
  <si>
    <t>Mixmax</t>
  </si>
  <si>
    <t>Delighted</t>
  </si>
  <si>
    <t>Freshteam</t>
  </si>
  <si>
    <t>Statuspage</t>
  </si>
  <si>
    <t>DOMO</t>
  </si>
  <si>
    <t>Slack Enterprise</t>
  </si>
  <si>
    <t>Livestorm</t>
  </si>
  <si>
    <t>Netlify</t>
  </si>
  <si>
    <t>Outreach</t>
  </si>
  <si>
    <t>Lokalise</t>
  </si>
  <si>
    <t>Auth0</t>
  </si>
  <si>
    <t>Sophos Central</t>
  </si>
  <si>
    <t>Hibob HRIS</t>
  </si>
  <si>
    <t>Cisco Umbrella (Legacy)</t>
  </si>
  <si>
    <t>SalesLoft</t>
  </si>
  <si>
    <t>Avalara</t>
  </si>
  <si>
    <t>DocuSign</t>
  </si>
  <si>
    <t>Pluralsight Skills</t>
  </si>
  <si>
    <t>Harvest</t>
  </si>
  <si>
    <t>Shutterstock</t>
  </si>
  <si>
    <t>GanttPRO</t>
  </si>
  <si>
    <t>Kissflow</t>
  </si>
  <si>
    <t>Hexnode MDM</t>
  </si>
  <si>
    <t>Clockify</t>
  </si>
  <si>
    <t>ClickUp</t>
  </si>
  <si>
    <t>Contentful</t>
  </si>
  <si>
    <t>Cockpit CMS</t>
  </si>
  <si>
    <t>Hunter</t>
  </si>
  <si>
    <t>Acuity Scheduling</t>
  </si>
  <si>
    <t>Certify Expense</t>
  </si>
  <si>
    <t>TalentLMS</t>
  </si>
  <si>
    <t>Egnyte</t>
  </si>
  <si>
    <t>Linode</t>
  </si>
  <si>
    <t>Help Scout</t>
  </si>
  <si>
    <t>Jamf Pro</t>
  </si>
  <si>
    <t>Everhour</t>
  </si>
  <si>
    <t>Float</t>
  </si>
  <si>
    <t>Salesforce (Form Based)</t>
  </si>
  <si>
    <t>LastPass</t>
  </si>
  <si>
    <t>SonarCloud</t>
  </si>
  <si>
    <t>Appfigures</t>
  </si>
  <si>
    <t>Bugsnag</t>
  </si>
  <si>
    <t>Tableau</t>
  </si>
  <si>
    <t>Codefresh</t>
  </si>
  <si>
    <t>SendBird</t>
  </si>
  <si>
    <t>bexio</t>
  </si>
  <si>
    <t>Crisp</t>
  </si>
  <si>
    <t>Digital Ocean</t>
  </si>
  <si>
    <t>Jira</t>
  </si>
  <si>
    <t>monday.com</t>
  </si>
  <si>
    <t>PagerDuty</t>
  </si>
  <si>
    <t>Document360</t>
  </si>
  <si>
    <t>Trello</t>
  </si>
  <si>
    <t>Intercom</t>
  </si>
  <si>
    <t>Zendesk</t>
  </si>
  <si>
    <t>JumpCloud</t>
  </si>
  <si>
    <t>SendGrid</t>
  </si>
  <si>
    <t>Pipedrive</t>
  </si>
  <si>
    <t>Opsgenie</t>
  </si>
  <si>
    <t>Calendly</t>
  </si>
  <si>
    <t>Datadog APM</t>
  </si>
  <si>
    <t>ActiveCampaign</t>
  </si>
  <si>
    <t>Zoho Desk</t>
  </si>
  <si>
    <t>Freshservice</t>
  </si>
  <si>
    <t>Azure DevOps</t>
  </si>
  <si>
    <t>Aircall</t>
  </si>
  <si>
    <t>Zoho Crm</t>
  </si>
  <si>
    <t>Freshbooks</t>
  </si>
  <si>
    <t>Basecamp</t>
  </si>
  <si>
    <t>TestRail</t>
  </si>
  <si>
    <t>Freshdesk</t>
  </si>
  <si>
    <t>Xero</t>
  </si>
  <si>
    <t>Gong</t>
  </si>
  <si>
    <t>HubSpot CRM - Legacy</t>
  </si>
  <si>
    <t>ServiceNow</t>
  </si>
  <si>
    <t>Jira Self Hosted</t>
  </si>
  <si>
    <t>Confluence Self Hosted</t>
  </si>
  <si>
    <t>BambooHR</t>
  </si>
  <si>
    <t>Rollbar</t>
  </si>
  <si>
    <t>PingIdentity</t>
  </si>
  <si>
    <t>Digicert</t>
  </si>
  <si>
    <t>Pingdom</t>
  </si>
  <si>
    <t>Cisco Meraki</t>
  </si>
  <si>
    <t>15Five</t>
  </si>
  <si>
    <t>LogMeIn Central</t>
  </si>
  <si>
    <t>Stripe Connect</t>
  </si>
  <si>
    <t>Apollo.io</t>
  </si>
  <si>
    <t>Fivetran</t>
  </si>
  <si>
    <t>GreenHouse</t>
  </si>
  <si>
    <t>Salesforce (OAuth)</t>
  </si>
  <si>
    <t>SauceLabs</t>
  </si>
  <si>
    <t>Site24x7</t>
  </si>
  <si>
    <t>Hello Sign</t>
  </si>
  <si>
    <t>GitKraken</t>
  </si>
  <si>
    <t>Logz.io</t>
  </si>
  <si>
    <t>PersonioHR</t>
  </si>
  <si>
    <t>LaunchDarkly</t>
  </si>
  <si>
    <t>Brex</t>
  </si>
  <si>
    <t>Optimizely</t>
  </si>
  <si>
    <t>Runscope</t>
  </si>
  <si>
    <t>Sentry - API Key</t>
  </si>
  <si>
    <t>Afi SaaS Backup</t>
  </si>
  <si>
    <t>Freshwork Crm</t>
  </si>
  <si>
    <t>Atera</t>
  </si>
  <si>
    <t>Collibra</t>
  </si>
  <si>
    <t>1Password</t>
  </si>
  <si>
    <t>KnowBe4</t>
  </si>
  <si>
    <t>Canny</t>
  </si>
  <si>
    <t>CheckPoint Infinity</t>
  </si>
  <si>
    <t>Google Play Store</t>
  </si>
  <si>
    <t>FireHydrant</t>
  </si>
  <si>
    <t>Cloudflare (API Token)</t>
  </si>
  <si>
    <t>Miro Enterprise</t>
  </si>
  <si>
    <t>Informatica</t>
  </si>
  <si>
    <t>Qualtrics Core XM</t>
  </si>
  <si>
    <t>Envoy</t>
  </si>
  <si>
    <t>New Relic APM</t>
  </si>
  <si>
    <t>Splunk Cloud</t>
  </si>
  <si>
    <t>ConfigCat</t>
  </si>
  <si>
    <t>DBT cloud</t>
  </si>
  <si>
    <t>Paperspace</t>
  </si>
  <si>
    <t>NinjaRMM</t>
  </si>
  <si>
    <t>Postmark</t>
  </si>
  <si>
    <t>Microsoft Azure</t>
  </si>
  <si>
    <t>Teamwork</t>
  </si>
  <si>
    <t>SuccessFactors</t>
  </si>
  <si>
    <t>Qualys Cloud Platform</t>
  </si>
  <si>
    <t>HubSpot CRM Oauth</t>
  </si>
  <si>
    <t>Productboard</t>
  </si>
  <si>
    <t>TravelPerk</t>
  </si>
  <si>
    <t>Automox</t>
  </si>
  <si>
    <t>Perimeter 81</t>
  </si>
  <si>
    <t>Looker</t>
  </si>
  <si>
    <t>Zenduty</t>
  </si>
  <si>
    <t>Workable</t>
  </si>
  <si>
    <t>Snowflake</t>
  </si>
  <si>
    <t>Adobe Sign</t>
  </si>
  <si>
    <t>Kandji</t>
  </si>
  <si>
    <t>ScheduleOnce</t>
  </si>
  <si>
    <t>Spot by Net App</t>
  </si>
  <si>
    <t>Teamtailor</t>
  </si>
  <si>
    <t>Time Doctor</t>
  </si>
  <si>
    <t>Coda</t>
  </si>
  <si>
    <t>Linear</t>
  </si>
  <si>
    <t>Priority Software</t>
  </si>
  <si>
    <t>Asana Enterprise</t>
  </si>
  <si>
    <t>Frame.io</t>
  </si>
  <si>
    <t>Lattice</t>
  </si>
  <si>
    <t>NetSuite</t>
  </si>
  <si>
    <t>Wufoo</t>
  </si>
  <si>
    <t>Microsoft Intune</t>
  </si>
  <si>
    <t>Guru</t>
  </si>
  <si>
    <t>Jira Service Desk</t>
  </si>
  <si>
    <t>CoderPad</t>
  </si>
  <si>
    <t>UKG Pro</t>
  </si>
  <si>
    <t>Front</t>
  </si>
  <si>
    <t>ADP Workers</t>
  </si>
  <si>
    <t>Jetbrains</t>
  </si>
  <si>
    <t>Lucid</t>
  </si>
  <si>
    <t>NetSuite Custom</t>
  </si>
  <si>
    <t>Sage Intacct</t>
  </si>
  <si>
    <t>Miro Custom</t>
  </si>
  <si>
    <t>Zscaler</t>
  </si>
  <si>
    <t>SurveyMonkey</t>
  </si>
  <si>
    <t>Hibob - Service User</t>
  </si>
  <si>
    <t>JustCall</t>
  </si>
  <si>
    <t>Airtable</t>
  </si>
  <si>
    <t>Parsec</t>
  </si>
  <si>
    <t>Marketo</t>
  </si>
  <si>
    <t>SAP Concur</t>
  </si>
  <si>
    <t>BlogIn</t>
  </si>
  <si>
    <t>Loopio</t>
  </si>
  <si>
    <t>Keka</t>
  </si>
  <si>
    <t>Salesforce-V2</t>
  </si>
  <si>
    <t>Apple App Store Connect</t>
  </si>
  <si>
    <t>Amplitude</t>
  </si>
  <si>
    <t>Figma</t>
  </si>
  <si>
    <t>Harness</t>
  </si>
  <si>
    <t>Drata</t>
  </si>
  <si>
    <t>Imperva</t>
  </si>
  <si>
    <t>Lessonly</t>
  </si>
  <si>
    <t>Vercel</t>
  </si>
  <si>
    <t>Coupa</t>
  </si>
  <si>
    <t>Ramp</t>
  </si>
  <si>
    <t>Databricks</t>
  </si>
  <si>
    <t>Microsoft Intune V2</t>
  </si>
  <si>
    <t>AWS Identity Center</t>
  </si>
  <si>
    <t>Alchemer</t>
  </si>
  <si>
    <t>Lucid Scim</t>
  </si>
  <si>
    <t>Typeform</t>
  </si>
  <si>
    <t>MailerLite</t>
  </si>
  <si>
    <t>Infinipoint Custom</t>
  </si>
  <si>
    <t>GitHub Enterprise</t>
  </si>
  <si>
    <t>Segment</t>
  </si>
  <si>
    <t>Docker Hub</t>
  </si>
  <si>
    <t>Honeybadger</t>
  </si>
  <si>
    <t>Snipe-IT</t>
  </si>
  <si>
    <t>360Learning</t>
  </si>
  <si>
    <t>Keeper</t>
  </si>
  <si>
    <t>Adobe Creative Cloud V2</t>
  </si>
  <si>
    <t>Preset (Custom)</t>
  </si>
  <si>
    <t>Thinkst Canary</t>
  </si>
  <si>
    <t>Snyk</t>
  </si>
  <si>
    <t>Dialpad</t>
  </si>
  <si>
    <t>Custom Integration</t>
  </si>
  <si>
    <t>Workday Oauth</t>
  </si>
  <si>
    <t>Ironclad</t>
  </si>
  <si>
    <t>Namely</t>
  </si>
  <si>
    <t>Navan (formerly TripActions)</t>
  </si>
  <si>
    <t>DNSimple</t>
  </si>
  <si>
    <t>FOSSA</t>
  </si>
  <si>
    <t>Culture Amp</t>
  </si>
  <si>
    <t>Detectify</t>
  </si>
  <si>
    <t>Worksuite</t>
  </si>
  <si>
    <t>Zip Hq</t>
  </si>
  <si>
    <t>Checkr</t>
  </si>
  <si>
    <t>Grammarly Business</t>
  </si>
  <si>
    <t>Printix</t>
  </si>
  <si>
    <t>EvaluAgent</t>
  </si>
  <si>
    <t>Astronomer</t>
  </si>
  <si>
    <t>Kisi</t>
  </si>
  <si>
    <t>Qase</t>
  </si>
  <si>
    <t>Grafana</t>
  </si>
  <si>
    <t>Make</t>
  </si>
  <si>
    <t>AppNexus</t>
  </si>
  <si>
    <t>GitHub Copilot</t>
  </si>
  <si>
    <t>Rippling Api-key</t>
  </si>
  <si>
    <t>Workday Custom</t>
  </si>
  <si>
    <t>Cisco Umbrella V2</t>
  </si>
  <si>
    <t>Bill Spends &amp; Expense</t>
  </si>
  <si>
    <t>Zoom Custom</t>
  </si>
  <si>
    <t>Workday HR Custom</t>
  </si>
  <si>
    <t>Azure AD (Machine to Machine)</t>
  </si>
  <si>
    <t>Okta (Machine to Machine)</t>
  </si>
  <si>
    <t>CornerStone</t>
  </si>
  <si>
    <t>Crowdstrike Falcon</t>
  </si>
  <si>
    <t>Workato</t>
  </si>
  <si>
    <t>AppFollow(V2)</t>
  </si>
  <si>
    <t>CyberArk</t>
  </si>
  <si>
    <t>Torq</t>
  </si>
  <si>
    <t>Monte Carlo</t>
  </si>
  <si>
    <t>Workday HR (Custom)</t>
  </si>
  <si>
    <t>Imply</t>
  </si>
  <si>
    <t>Palo Alto Networks Panorama</t>
  </si>
  <si>
    <t xml:space="preserve">Note:- The data points for each integration can differ basis the availability of data coming from the vendor applications                 </t>
  </si>
  <si>
    <t>Instructions for responding to Uber's Workbook</t>
  </si>
  <si>
    <t xml:space="preserve">By submitting this pricing, vendor gaurantees the pricing for 90 days. </t>
  </si>
  <si>
    <r>
      <rPr>
        <rFont val="Roboto"/>
        <b/>
        <color theme="1"/>
        <sz val="10.0"/>
      </rPr>
      <t xml:space="preserve">SaaS users (highest priority):
</t>
    </r>
    <r>
      <rPr>
        <rFont val="Roboto"/>
        <color theme="1"/>
        <sz val="10.0"/>
      </rPr>
      <t xml:space="preserve">     ~28K FTEs (highest priority)
     ~24K EXTs (medium priority)
     ~35K BPO (lower priority)
</t>
    </r>
    <r>
      <rPr>
        <rFont val="Roboto"/>
        <b/>
        <color theme="1"/>
        <sz val="10.0"/>
      </rPr>
      <t>EUC: ~30-40K (medium priority)
Servers: &gt;200K (lower priority)</t>
    </r>
  </si>
  <si>
    <t>This pricing template contains the following 3 areas:</t>
  </si>
  <si>
    <t>Subscription Fees</t>
  </si>
  <si>
    <t>Implementation Fees</t>
  </si>
  <si>
    <t>Additional Pricing Questions</t>
  </si>
  <si>
    <t>User Breakdown (List Cost USD)</t>
  </si>
  <si>
    <t>Enterprise List Cost (1 Year)</t>
  </si>
  <si>
    <t>Discount %</t>
  </si>
  <si>
    <t>Monthly Cost (USD)</t>
  </si>
  <si>
    <t>1 Year Agreement</t>
  </si>
  <si>
    <t>Three Year Agreement</t>
  </si>
  <si>
    <t>FTE (28k) ($1/user/Mon)</t>
  </si>
  <si>
    <t>EXT (24k)  ($.70/user/Mon)</t>
  </si>
  <si>
    <t>BPO (35k)  ($.2/user/Mon)</t>
  </si>
  <si>
    <t>Annual Cost</t>
  </si>
  <si>
    <t>Implementation (One time fee)</t>
  </si>
  <si>
    <t>X</t>
  </si>
  <si>
    <t>Total Contract Cost</t>
  </si>
  <si>
    <t>First Year</t>
  </si>
  <si>
    <t xml:space="preserve">Second 3rd </t>
  </si>
  <si>
    <t>Third Year</t>
  </si>
  <si>
    <t>IMPLEMENTATION PLAN</t>
  </si>
  <si>
    <t>Question</t>
  </si>
  <si>
    <t>Written Response</t>
  </si>
  <si>
    <t>If your organization is selected as Uber’s partner, explain how you would implement your services by providing an implementation plan that:</t>
  </si>
  <si>
    <r>
      <rPr>
        <rFont val="Roboto"/>
        <color theme="1"/>
        <sz val="12.0"/>
      </rPr>
      <t xml:space="preserve">To implement our services effectively, Zluri follows a structured implementation plan designed to ensure a smooth transition and successful integration of our SaaS Management solution. Here is an outline of our implementation process:
1. </t>
    </r>
    <r>
      <rPr>
        <rFont val="Roboto"/>
        <b/>
        <color theme="1"/>
        <sz val="12.0"/>
      </rPr>
      <t>Initial Setup and Integration</t>
    </r>
    <r>
      <rPr>
        <rFont val="Roboto"/>
        <color theme="1"/>
        <sz val="12.0"/>
      </rPr>
      <t xml:space="preserve">:
   - We begin by connecting 15-20 of your major applications to our platform. This initial integration sets the foundation for further expansion as we continue to add more applications until all are integrated with Zluri.
2. </t>
    </r>
    <r>
      <rPr>
        <rFont val="Roboto"/>
        <b/>
        <color theme="1"/>
        <sz val="12.0"/>
      </rPr>
      <t>Implementation Timeline</t>
    </r>
    <r>
      <rPr>
        <rFont val="Roboto"/>
        <color theme="1"/>
        <sz val="12.0"/>
      </rPr>
      <t xml:space="preserve">:
   - The typical implementation (onboarding) process spans approximately 90 days. However, timelines can vary slightly depending on specific requirements and complexities.
3. </t>
    </r>
    <r>
      <rPr>
        <rFont val="Roboto"/>
        <b/>
        <color theme="1"/>
        <sz val="12.0"/>
      </rPr>
      <t>Dedicated Support Team</t>
    </r>
    <r>
      <rPr>
        <rFont val="Roboto"/>
        <color theme="1"/>
        <sz val="12.0"/>
      </rPr>
      <t xml:space="preserve">:
   - Your Zluri team will include a dedicated Implementation Specialist, Customer Success Manager, Technical Account Manager, Account Executive, and Solutions Expert. This team will guide you through the entire process, ensuring all aspects of the implementation are covered.
4. </t>
    </r>
    <r>
      <rPr>
        <rFont val="Roboto"/>
        <b/>
        <color theme="1"/>
        <sz val="12.0"/>
      </rPr>
      <t>Training and Documentation</t>
    </r>
    <r>
      <rPr>
        <rFont val="Roboto"/>
        <color theme="1"/>
        <sz val="12.0"/>
      </rPr>
      <t xml:space="preserve">:
   - We provide live training sessions and comprehensive documentation to facilitate user adoption and understanding of the platform. Additionally, we utilize a tool called Rocketlane to track the visibility of the entire project.
5. </t>
    </r>
    <r>
      <rPr>
        <rFont val="Roboto"/>
        <b/>
        <color theme="1"/>
        <sz val="12.0"/>
      </rPr>
      <t>Communication and Support</t>
    </r>
    <r>
      <rPr>
        <rFont val="Roboto"/>
        <color theme="1"/>
        <sz val="12.0"/>
      </rPr>
      <t xml:space="preserve">:
   - Throughout the implementation, we offer support via Slack, Teams, and Email. We also conduct an Executive Connect every three months to align on goals and outcomes, providing additional support as needed.
6. </t>
    </r>
    <r>
      <rPr>
        <rFont val="Roboto"/>
        <b/>
        <color theme="1"/>
        <sz val="12.0"/>
      </rPr>
      <t>Data Migration and Integrity</t>
    </r>
    <r>
      <rPr>
        <rFont val="Roboto"/>
        <color theme="1"/>
        <sz val="12.0"/>
      </rPr>
      <t xml:space="preserve">:
   - Our customer success team ensures that all data migration is meticulously checked multiple times to maintain data integrity and accuracy. This process continues until all applications are accurately represented within the Zluri tool.
7. </t>
    </r>
    <r>
      <rPr>
        <rFont val="Roboto"/>
        <b/>
        <color theme="1"/>
        <sz val="12.0"/>
      </rPr>
      <t>Ongoing Support and Optimization</t>
    </r>
    <r>
      <rPr>
        <rFont val="Roboto"/>
        <color theme="1"/>
        <sz val="12.0"/>
      </rPr>
      <t xml:space="preserve">:
   - Post-implementation, we provide enterprise-level support to enhance the value of the solution and ensure it meets your evolving needs.
For more information on our security measures, please refer to our </t>
    </r>
    <r>
      <rPr>
        <rFont val="Roboto"/>
        <color rgb="FF1155CC"/>
        <sz val="12.0"/>
        <u/>
      </rPr>
      <t>Trust Center</t>
    </r>
    <r>
      <rPr>
        <rFont val="Roboto"/>
        <color theme="1"/>
        <sz val="12.0"/>
      </rPr>
      <t>. 
This comprehensive approach ensures a seamless transition to our SaaS Management solution, maximizing efficiency and effectiveness for your organization.</t>
    </r>
  </si>
  <si>
    <t>Specifies personnel from your organization will be involved and their roles</t>
  </si>
  <si>
    <t>Please find the details in the Uber SOW that is attached</t>
  </si>
  <si>
    <t>Outlines major action items &amp; timeline</t>
  </si>
  <si>
    <t>Outlines any transition if needed &amp; resources</t>
  </si>
  <si>
    <t>NA</t>
  </si>
  <si>
    <t>If not answered above, please specify length of the implementation period for on-prem and SaaS, separately.</t>
  </si>
  <si>
    <t>The typical implementation (onboarding) period for our SaaS solutions is approximately 90 days. However, this timeline can vary depending on the complexity of the environment and the amount of time you can dedicate per week. Generally, implementation requires about 1-2 hours per week of structured time. Some implementations may be completed more quickly, while others might take slightly longer.</t>
  </si>
  <si>
    <t>Describe how you address changes in the subscription volume</t>
  </si>
  <si>
    <t>We can best align on the best process to address change in subscription volume.One potential solution is to integrate with the customer’s SSO (Single Sign-On) or HRMS (Human Resource Management System) to establish a single source of truth for user data. As the contract or subscription approaches its end date, we can then fetch the current number of employees from the SSO/HRMS, validate this figure with the customer, and subsequently send a subscription renewal email based on the accurate employee count.</t>
  </si>
  <si>
    <t>Describe your approach for contract renewals</t>
  </si>
  <si>
    <t xml:space="preserve">The Zluri customer success team will work closely with your team throughout the partnership to align on the contract renewal. Much like the process described above for the subscription volume, we will validate the licensing ahead of the contract renewal date. </t>
  </si>
  <si>
    <t>Describe the subscription fee model. What is the discount structure offered?</t>
  </si>
  <si>
    <t>Pricing model is structured by User/Month. Monthly breakdown is shown accordingly (USD): FTE = $.70/User/Mon, EXT=$.35/User/Mon, BPO=.10/User/Mon</t>
  </si>
  <si>
    <t>Is there any incremental cost of additional subscriptions or can you provide enterprise pricing model that remains unchanged?</t>
  </si>
  <si>
    <t>We can provide an enterprise pricing model that remains unchanged. We can discuss further on how your team wants this model ideally structured.</t>
  </si>
  <si>
    <t>Provide a detailed breakdown of the subscription fees, include all modules if any.</t>
  </si>
  <si>
    <r>
      <rPr>
        <rFont val="Roboto"/>
        <color theme="1"/>
        <sz val="12.0"/>
      </rPr>
      <t xml:space="preserve">Zluri's licensing model is based on the full-time employee count of the client. We offer multiple modules, including:
1. </t>
    </r>
    <r>
      <rPr>
        <rFont val="Roboto"/>
        <b/>
        <color theme="1"/>
        <sz val="12.0"/>
      </rPr>
      <t>Enterprise SaaS Management</t>
    </r>
    <r>
      <rPr>
        <rFont val="Roboto"/>
        <color theme="1"/>
        <sz val="12.0"/>
      </rPr>
      <t xml:space="preserve">: This is our primary offering and includes features such as software asset management, user directory, license management, contract management, utilization, optimization, and reporting.
2. </t>
    </r>
    <r>
      <rPr>
        <rFont val="Roboto"/>
        <b/>
        <color theme="1"/>
        <sz val="12.0"/>
      </rPr>
      <t>Access Management</t>
    </r>
    <r>
      <rPr>
        <rFont val="Roboto"/>
        <color theme="1"/>
        <sz val="12.0"/>
      </rPr>
      <t xml:space="preserve">: This module automates onboarding and offboarding processes and includes an application catalog.
3. </t>
    </r>
    <r>
      <rPr>
        <rFont val="Roboto"/>
        <b/>
        <color theme="1"/>
        <sz val="12.0"/>
      </rPr>
      <t>User Access Reviews</t>
    </r>
    <r>
      <rPr>
        <rFont val="Roboto"/>
        <color theme="1"/>
        <sz val="12.0"/>
      </rPr>
      <t>: This module allows for seamless automated user access reviews to maintain compliance.
Additionally, there is an implementation fee, which is 10% of the licensing cost. Implementation typically takes 8-12 weeks, depending on the complexity of the environment and the time commitment from the client's team.</t>
    </r>
  </si>
  <si>
    <t>How many non-production environments (e.g., Dev, Test) are provided with your proposal? Are these an exact replica of the production instance? What is the cost of an additional environment?</t>
  </si>
  <si>
    <t>The cost for providing an additional sandbox environment to test within Zluri is calculated separately. Please contact our sales team for specific pricing details related to your requirements.</t>
  </si>
  <si>
    <t>What are the training costs? Are these per person, per session or at discretion of the vendor?</t>
  </si>
  <si>
    <t>Zluri's training costs are included as part of our onboarding package, with no additional charges. The training is not priced per person or per session. Instead, we offer comprehensive training resources, including:
1. 8 hours of virtual one-on-one training during the first two weeks of onboarding.
2. Unlimited one-on-one support for the duration of your time as a Zluri customer.
3. Access to help articles, monthly webinars, and recorded help videos for continuous learning.
This approach ensures that all users have access to the necessary training without incurring extra costs.</t>
  </si>
  <si>
    <t>Provide complete details of what is not included in the cost of ownership?</t>
  </si>
  <si>
    <t>N/A</t>
  </si>
  <si>
    <t>Is there any cost of cancellation of the contract? What are exit options?</t>
  </si>
  <si>
    <r>
      <rPr>
        <rFont val="Roboto"/>
        <color theme="1"/>
        <sz val="12.0"/>
      </rPr>
      <t xml:space="preserve">When considering exit options with Zluri, the following processes are in place:
1. </t>
    </r>
    <r>
      <rPr>
        <rFont val="Roboto"/>
        <b/>
        <color theme="1"/>
        <sz val="12.0"/>
      </rPr>
      <t>Data Ownership and Deletion</t>
    </r>
    <r>
      <rPr>
        <rFont val="Roboto"/>
        <color theme="1"/>
        <sz val="12.0"/>
      </rPr>
      <t xml:space="preserve">: You retain ownership of your data. Upon termination of the contract, we can delete your data according to NIST 800-88 standards. We have a policy to delete or return all personal and confidential data at the end of processing services. For more details, please refer to our </t>
    </r>
    <r>
      <rPr>
        <rFont val="Roboto"/>
        <color rgb="FF1155CC"/>
        <sz val="12.0"/>
        <u/>
      </rPr>
      <t>data deletion policy</t>
    </r>
    <r>
      <rPr>
        <rFont val="Roboto"/>
        <color theme="1"/>
        <sz val="12.0"/>
      </rPr>
      <t xml:space="preserve">.
2. </t>
    </r>
    <r>
      <rPr>
        <rFont val="Roboto"/>
        <b/>
        <color theme="1"/>
        <sz val="12.0"/>
      </rPr>
      <t>Data Migration</t>
    </r>
    <r>
      <rPr>
        <rFont val="Roboto"/>
        <color theme="1"/>
        <sz val="12.0"/>
      </rPr>
      <t xml:space="preserve">: If you decide to discontinue using our product, we will dispose of your data within 90 days post-contract termination. If personal data has been transferred prior to termination, it will be returned or deleted, and the data importer will certify the deletion.
3. </t>
    </r>
    <r>
      <rPr>
        <rFont val="Roboto"/>
        <b/>
        <color theme="1"/>
        <sz val="12.0"/>
      </rPr>
      <t>System Disconnection</t>
    </r>
    <r>
      <rPr>
        <rFont val="Roboto"/>
        <color theme="1"/>
        <sz val="12.0"/>
      </rPr>
      <t>: You can manually disconnect your systems from your Zluri instance, or you can wait for the anonymization of the data to be conducted from our end.
These measures ensure a smooth transition and secure handling of your data upon exiting our services.</t>
    </r>
  </si>
  <si>
    <t>How do you charge devices used by contractors, ie, call center support where 5 people might share 1 device.</t>
  </si>
  <si>
    <t xml:space="preserve">Pricing model is based per user not device. </t>
  </si>
  <si>
    <t>Show typical discount you provide to companies of Uber’s size and usage profile</t>
  </si>
  <si>
    <t>Pricing reflects enterprise sized discounting.</t>
  </si>
  <si>
    <t>Include future pricing as we never want to get started with a vendor that someday a particular business unit of ours can’t afford.</t>
  </si>
  <si>
    <t xml:space="preserve"> We can discuss further and uncover how your team wants this model ideally structured.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</si>
</sst>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42">
    <font>
      <sz val="10.0"/>
      <color rgb="FF000000"/>
      <name val="Arial"/>
      <scheme val="minor"/>
    </font>
    <font>
      <b/>
      <sz val="10.0"/>
      <color rgb="FF000000"/>
      <name val="Arial"/>
    </font>
    <font>
      <sz val="10.0"/>
      <color rgb="FF000000"/>
      <name val="Arial"/>
    </font>
    <font>
      <sz val="12.0"/>
      <color rgb="FF000000"/>
      <name val="Arial"/>
    </font>
    <font>
      <b/>
      <sz val="10.0"/>
      <color theme="1"/>
      <name val="Arial"/>
    </font>
    <font/>
    <font>
      <u/>
      <sz val="10.0"/>
      <color rgb="FF000000"/>
      <name val="Arial"/>
    </font>
    <font>
      <u/>
      <sz val="10.0"/>
      <color rgb="FF000000"/>
      <name val="Arial"/>
    </font>
    <font>
      <u/>
      <color theme="1"/>
      <name val="Arial"/>
    </font>
    <font>
      <color theme="1"/>
      <name val="Arial"/>
      <scheme val="minor"/>
    </font>
    <font>
      <u/>
      <sz val="10.0"/>
      <color rgb="FF000000"/>
      <name val="Arial"/>
    </font>
    <font>
      <u/>
      <sz val="10.0"/>
      <color rgb="FF0000FF"/>
      <name val="Arial"/>
    </font>
    <font>
      <u/>
      <sz val="10.0"/>
      <color rgb="FF000000"/>
      <name val="Arial"/>
    </font>
    <font>
      <b/>
      <sz val="10.0"/>
      <color rgb="FFFF6600"/>
      <name val="Arial"/>
    </font>
    <font>
      <sz val="10.0"/>
      <color theme="1"/>
      <name val="Arial"/>
    </font>
    <font>
      <b/>
      <sz val="10.0"/>
      <color rgb="FF000000"/>
      <name val="Roboto"/>
    </font>
    <font>
      <sz val="10.0"/>
      <color rgb="FF000000"/>
      <name val="Roboto"/>
    </font>
    <font>
      <b/>
      <sz val="10.0"/>
      <color theme="1"/>
      <name val="Roboto"/>
    </font>
    <font>
      <b/>
      <sz val="12.0"/>
      <color rgb="FFFFFFFF"/>
      <name val="Roboto"/>
    </font>
    <font>
      <sz val="10.0"/>
      <color theme="1"/>
      <name val="Roboto"/>
    </font>
    <font>
      <sz val="12.0"/>
      <color rgb="FFFFFFFF"/>
      <name val="Roboto"/>
    </font>
    <font>
      <b/>
      <sz val="10.0"/>
      <color theme="0"/>
      <name val="Roboto"/>
    </font>
    <font>
      <b/>
      <sz val="10.0"/>
      <color rgb="FFFFFFFF"/>
      <name val="Roboto"/>
    </font>
    <font>
      <b/>
      <sz val="10.0"/>
      <color theme="0"/>
      <name val="Arial"/>
    </font>
    <font>
      <u/>
      <sz val="10.0"/>
      <color rgb="FF000000"/>
      <name val="Roboto"/>
    </font>
    <font>
      <u/>
      <sz val="10.0"/>
      <color rgb="FF000000"/>
      <name val="Roboto"/>
    </font>
    <font>
      <u/>
      <sz val="10.0"/>
      <color rgb="FF000000"/>
      <name val="Roboto"/>
    </font>
    <font>
      <b/>
      <u/>
      <color rgb="FF0000FF"/>
    </font>
    <font>
      <b/>
      <color theme="1"/>
      <name val="Arial"/>
    </font>
    <font>
      <b/>
      <color theme="1"/>
      <name val="Arial"/>
      <scheme val="minor"/>
    </font>
    <font>
      <color theme="1"/>
      <name val="Arial"/>
    </font>
    <font>
      <sz val="11.0"/>
      <color rgb="FF3F3F76"/>
      <name val="Arial"/>
    </font>
    <font>
      <u/>
      <color rgb="FF1155CC"/>
      <name val="Arial"/>
    </font>
    <font>
      <sz val="10.0"/>
      <color rgb="FFFFFFFF"/>
      <name val="Roboto"/>
    </font>
    <font>
      <u/>
      <sz val="10.0"/>
      <color rgb="FF0000FF"/>
      <name val="Roboto"/>
    </font>
    <font>
      <sz val="12.0"/>
      <color theme="1"/>
      <name val="Roboto"/>
    </font>
    <font>
      <color theme="1"/>
      <name val="Roboto"/>
    </font>
    <font>
      <sz val="18.0"/>
      <color theme="1"/>
      <name val="Roboto"/>
    </font>
    <font>
      <b/>
      <sz val="12.0"/>
      <color rgb="FF000000"/>
      <name val="Roboto"/>
    </font>
    <font>
      <sz val="14.0"/>
      <color rgb="FFFFFFFF"/>
      <name val="Roboto"/>
    </font>
    <font>
      <u/>
      <sz val="12.0"/>
      <color theme="1"/>
      <name val="Roboto"/>
    </font>
    <font>
      <sz val="12.0"/>
      <color rgb="FF000000"/>
      <name val="Roboto"/>
    </font>
  </fonts>
  <fills count="15">
    <fill>
      <patternFill patternType="none"/>
    </fill>
    <fill>
      <patternFill patternType="lightGray"/>
    </fill>
    <fill>
      <patternFill patternType="solid">
        <fgColor rgb="FFC1C1C9"/>
        <bgColor rgb="FFC1C1C9"/>
      </patternFill>
    </fill>
    <fill>
      <patternFill patternType="solid">
        <fgColor rgb="FFD9D9D9"/>
        <bgColor rgb="FFD9D9D9"/>
      </patternFill>
    </fill>
    <fill>
      <patternFill patternType="solid">
        <fgColor rgb="FF000000"/>
        <bgColor rgb="FF000000"/>
      </patternFill>
    </fill>
    <fill>
      <patternFill patternType="solid">
        <fgColor rgb="FFF3F3F3"/>
        <bgColor rgb="FFF3F3F3"/>
      </patternFill>
    </fill>
    <fill>
      <patternFill patternType="solid">
        <fgColor theme="7"/>
        <bgColor theme="7"/>
      </patternFill>
    </fill>
    <fill>
      <patternFill patternType="solid">
        <fgColor rgb="FF356854"/>
        <bgColor rgb="FF356854"/>
      </patternFill>
    </fill>
    <fill>
      <patternFill patternType="solid">
        <fgColor rgb="FFFFFFFF"/>
        <bgColor rgb="FFFFFFFF"/>
      </patternFill>
    </fill>
    <fill>
      <patternFill patternType="solid">
        <fgColor rgb="FF276EF1"/>
        <bgColor rgb="FF276EF1"/>
      </patternFill>
    </fill>
    <fill>
      <patternFill patternType="solid">
        <fgColor rgb="FFEFEFEF"/>
        <bgColor rgb="FFEFEFEF"/>
      </patternFill>
    </fill>
    <fill>
      <patternFill patternType="solid">
        <fgColor rgb="FF00FF00"/>
        <bgColor rgb="FF00FF00"/>
      </patternFill>
    </fill>
    <fill>
      <patternFill patternType="solid">
        <fgColor theme="0"/>
        <bgColor theme="0"/>
      </patternFill>
    </fill>
    <fill>
      <patternFill patternType="solid">
        <fgColor rgb="FFABBDFF"/>
        <bgColor rgb="FFABBDFF"/>
      </patternFill>
    </fill>
    <fill>
      <patternFill patternType="solid">
        <fgColor rgb="FFF6F8F9"/>
        <bgColor rgb="FFF6F8F9"/>
      </patternFill>
    </fill>
  </fills>
  <borders count="68">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
      <left style="thin">
        <color rgb="FF000000"/>
      </left>
      <right style="thin">
        <color rgb="FF000000"/>
      </right>
      <top style="thin">
        <color rgb="FF000000"/>
      </top>
      <bottom style="thin">
        <color rgb="FF000000"/>
      </bottom>
    </border>
    <border>
      <left style="hair">
        <color rgb="FF000000"/>
      </left>
      <right style="hair">
        <color rgb="FF000000"/>
      </right>
      <bottom style="hair">
        <color rgb="FF000000"/>
      </bottom>
    </border>
    <border>
      <left style="hair">
        <color rgb="FF000000"/>
      </left>
      <top style="hair">
        <color rgb="FF000000"/>
      </top>
    </border>
    <border>
      <right style="hair">
        <color rgb="FF000000"/>
      </right>
      <top style="hair">
        <color rgb="FF000000"/>
      </top>
    </border>
    <border>
      <left style="hair">
        <color rgb="FF000000"/>
      </left>
      <bottom style="hair">
        <color rgb="FF000000"/>
      </bottom>
    </border>
    <border>
      <right style="hair">
        <color rgb="FF000000"/>
      </right>
      <bottom style="hair">
        <color rgb="FF000000"/>
      </bottom>
    </border>
    <border>
      <left style="thin">
        <color rgb="FF000000"/>
      </left>
      <top style="thin">
        <color rgb="FF000000"/>
      </top>
      <bottom/>
    </border>
    <border>
      <right style="thin">
        <color rgb="FF000000"/>
      </right>
      <top style="thin">
        <color rgb="FF000000"/>
      </top>
      <bottom/>
    </border>
    <border>
      <left style="hair">
        <color rgb="FF000000"/>
      </left>
      <right style="hair">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left style="hair">
        <color rgb="FF000000"/>
      </left>
      <top style="hair">
        <color rgb="FF000000"/>
      </top>
      <bottom/>
    </border>
    <border>
      <right style="hair">
        <color rgb="FF000000"/>
      </right>
      <top style="hair">
        <color rgb="FF000000"/>
      </top>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bottom style="thin">
        <color rgb="FFD9D9D9"/>
      </bottom>
    </border>
    <border>
      <right style="thin">
        <color rgb="FFD9D9D9"/>
      </right>
      <bottom style="thin">
        <color rgb="FFD9D9D9"/>
      </bottom>
    </border>
    <border>
      <left style="thin">
        <color rgb="FFD9D9D9"/>
      </left>
      <right style="thin">
        <color rgb="FFD9D9D9"/>
      </right>
      <top/>
      <bottom style="thin">
        <color rgb="FFD9D9D9"/>
      </bottom>
    </border>
    <border>
      <left/>
      <right style="thin">
        <color rgb="FFD9D9D9"/>
      </right>
      <top/>
      <bottom style="thin">
        <color rgb="FFD9D9D9"/>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theme="7"/>
      </right>
      <top style="thin">
        <color theme="7"/>
      </top>
      <bottom style="thin">
        <color theme="7"/>
      </bottom>
    </border>
    <border>
      <left style="thin">
        <color theme="7"/>
      </left>
      <right style="thin">
        <color theme="7"/>
      </right>
      <top style="thin">
        <color theme="7"/>
      </top>
      <bottom style="thin">
        <color theme="7"/>
      </bottom>
    </border>
    <border>
      <left style="thin">
        <color theme="7"/>
      </left>
      <right style="thin">
        <color rgb="FF284E3F"/>
      </right>
      <top style="thin">
        <color theme="7"/>
      </top>
      <bottom style="thin">
        <color theme="7"/>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right style="thin">
        <color rgb="FF356854"/>
      </right>
      <top style="thin">
        <color rgb="FF284E3F"/>
      </top>
      <bottom style="thin">
        <color rgb="FF284E3F"/>
      </bottom>
    </border>
    <border>
      <left style="thin">
        <color rgb="FF000000"/>
      </left>
      <right style="thin">
        <color rgb="FF000000"/>
      </right>
      <top style="thin">
        <color rgb="FF000000"/>
      </top>
      <bottom/>
    </border>
    <border>
      <left/>
      <right style="thin">
        <color theme="7"/>
      </right>
      <top style="thin">
        <color theme="7"/>
      </top>
      <bottom/>
    </border>
    <border>
      <left style="thin">
        <color theme="7"/>
      </left>
      <right style="thin">
        <color theme="7"/>
      </right>
      <top style="thin">
        <color theme="7"/>
      </top>
      <bottom/>
    </border>
    <border>
      <left style="thin">
        <color theme="7"/>
      </left>
      <right style="thin">
        <color rgb="FF284E3F"/>
      </right>
      <top style="thin">
        <color theme="7"/>
      </top>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284E3F"/>
      </right>
      <bottom style="thin">
        <color rgb="FFFFFFFF"/>
      </bottom>
    </border>
    <border>
      <right style="thin">
        <color rgb="FFFFFFFF"/>
      </right>
    </border>
    <border>
      <left style="thin">
        <color rgb="FFFFFFFF"/>
      </left>
      <right style="thin">
        <color rgb="FFFFFFFF"/>
      </right>
    </border>
    <border>
      <left style="thin">
        <color rgb="FFFFFFFF"/>
      </left>
      <right style="thin">
        <color rgb="FF284E3F"/>
      </right>
    </border>
    <border>
      <right style="thin">
        <color rgb="FFFFFFFF"/>
      </right>
      <bottom style="thin">
        <color rgb="FF284E3F"/>
      </bottom>
    </border>
    <border>
      <left style="thin">
        <color rgb="FFFFFFFF"/>
      </left>
      <right style="thin">
        <color rgb="FFFFFFFF"/>
      </right>
      <bottom style="thin">
        <color rgb="FF284E3F"/>
      </bottom>
    </border>
    <border>
      <left style="thin">
        <color rgb="FFFFFFFF"/>
      </left>
      <right style="thin">
        <color rgb="FF284E3F"/>
      </right>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top style="thin">
        <color rgb="FF000000"/>
      </top>
      <bottom style="thin">
        <color rgb="FF000000"/>
      </bottom>
    </border>
    <border>
      <left/>
      <top/>
      <bottom/>
    </border>
    <border>
      <top/>
      <bottom/>
    </border>
  </borders>
  <cellStyleXfs count="1">
    <xf borderId="0" fillId="0" fontId="0" numFmtId="0" applyAlignment="1" applyFont="1"/>
  </cellStyleXfs>
  <cellXfs count="2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wrapText="1"/>
    </xf>
    <xf borderId="0" fillId="0" fontId="3" numFmtId="0" xfId="0" applyFont="1"/>
    <xf borderId="0" fillId="0" fontId="2" numFmtId="0" xfId="0" applyFont="1"/>
    <xf borderId="1" fillId="2" fontId="4" numFmtId="0" xfId="0" applyAlignment="1" applyBorder="1" applyFill="1" applyFont="1">
      <alignment horizontal="center" vertical="center"/>
    </xf>
    <xf borderId="2" fillId="0" fontId="5" numFmtId="0" xfId="0" applyBorder="1" applyFont="1"/>
    <xf borderId="3" fillId="0" fontId="5" numFmtId="0" xfId="0" applyBorder="1" applyFont="1"/>
    <xf borderId="4" fillId="0" fontId="5" numFmtId="0" xfId="0" applyBorder="1" applyFont="1"/>
    <xf borderId="5" fillId="0" fontId="2" numFmtId="0" xfId="0" applyBorder="1" applyFont="1"/>
    <xf borderId="5" fillId="0" fontId="6" numFmtId="0" xfId="0" applyAlignment="1" applyBorder="1" applyFont="1">
      <alignment horizontal="left" readingOrder="0" shrinkToFit="0" wrapText="1"/>
    </xf>
    <xf borderId="6" fillId="0" fontId="7" numFmtId="0" xfId="0" applyAlignment="1" applyBorder="1" applyFont="1">
      <alignment horizontal="center" readingOrder="0" shrinkToFit="0" vertical="center" wrapText="1"/>
    </xf>
    <xf borderId="7" fillId="0" fontId="5" numFmtId="0" xfId="0" applyBorder="1" applyFont="1"/>
    <xf borderId="8" fillId="0" fontId="2" numFmtId="0" xfId="0" applyAlignment="1" applyBorder="1" applyFont="1">
      <alignment horizontal="left" readingOrder="0" shrinkToFit="0" wrapText="1"/>
    </xf>
    <xf borderId="6" fillId="0" fontId="2" numFmtId="0" xfId="0" applyAlignment="1" applyBorder="1" applyFont="1">
      <alignment horizontal="center" shrinkToFit="0" vertical="center" wrapText="1"/>
    </xf>
    <xf borderId="6" fillId="0" fontId="2" numFmtId="0" xfId="0" applyBorder="1" applyFont="1"/>
    <xf borderId="9" fillId="0" fontId="8" numFmtId="0" xfId="0" applyAlignment="1" applyBorder="1" applyFont="1">
      <alignment readingOrder="0" shrinkToFit="0" wrapText="1"/>
    </xf>
    <xf borderId="10" fillId="0" fontId="2" numFmtId="0" xfId="0" applyAlignment="1" applyBorder="1" applyFont="1">
      <alignment horizontal="left" readingOrder="0" shrinkToFit="0" wrapText="1"/>
    </xf>
    <xf borderId="5" fillId="0" fontId="2" numFmtId="0" xfId="0" applyAlignment="1" applyBorder="1" applyFont="1">
      <alignment shrinkToFit="0" wrapText="1"/>
    </xf>
    <xf borderId="5" fillId="0" fontId="2" numFmtId="0" xfId="0" applyAlignment="1" applyBorder="1" applyFont="1">
      <alignment horizontal="left" readingOrder="0" shrinkToFit="0" wrapText="1"/>
    </xf>
    <xf borderId="0" fillId="0" fontId="9" numFmtId="0" xfId="0" applyAlignment="1" applyFont="1">
      <alignment readingOrder="0" shrinkToFit="0" wrapText="1"/>
    </xf>
    <xf borderId="5" fillId="0" fontId="2" numFmtId="0" xfId="0" applyAlignment="1" applyBorder="1" applyFont="1">
      <alignment horizontal="left" shrinkToFit="0" vertical="top" wrapText="1"/>
    </xf>
    <xf borderId="1" fillId="2" fontId="4" numFmtId="0" xfId="0" applyAlignment="1" applyBorder="1" applyFont="1">
      <alignment horizontal="center" shrinkToFit="0" vertical="center" wrapText="1"/>
    </xf>
    <xf borderId="5" fillId="0" fontId="2" numFmtId="0" xfId="0" applyAlignment="1" applyBorder="1" applyFont="1">
      <alignment horizontal="left" vertical="top"/>
    </xf>
    <xf borderId="11" fillId="0" fontId="2" numFmtId="0" xfId="0" applyAlignment="1" applyBorder="1" applyFont="1">
      <alignment horizontal="left" readingOrder="0" shrinkToFit="0" wrapText="1"/>
    </xf>
    <xf borderId="12" fillId="0" fontId="5" numFmtId="0" xfId="0" applyBorder="1" applyFont="1"/>
    <xf borderId="13" fillId="0" fontId="5" numFmtId="0" xfId="0" applyBorder="1" applyFont="1"/>
    <xf borderId="14" fillId="0" fontId="5" numFmtId="0" xfId="0" applyBorder="1" applyFont="1"/>
    <xf borderId="0" fillId="0" fontId="1" numFmtId="0" xfId="0" applyAlignment="1" applyFont="1">
      <alignment shrinkToFit="0" wrapText="1"/>
    </xf>
    <xf borderId="15" fillId="2" fontId="4" numFmtId="0" xfId="0" applyAlignment="1" applyBorder="1" applyFont="1">
      <alignment horizontal="center"/>
    </xf>
    <xf borderId="16" fillId="0" fontId="5" numFmtId="0" xfId="0" applyBorder="1" applyFont="1"/>
    <xf borderId="5" fillId="0" fontId="2" numFmtId="0" xfId="0" applyAlignment="1" applyBorder="1" applyFont="1">
      <alignment shrinkToFit="0" vertical="center" wrapText="1"/>
    </xf>
    <xf borderId="5" fillId="0" fontId="2" numFmtId="0" xfId="0" applyAlignment="1" applyBorder="1" applyFont="1">
      <alignment readingOrder="0" shrinkToFit="0" vertical="center" wrapText="1"/>
    </xf>
    <xf borderId="5" fillId="0" fontId="10" numFmtId="0" xfId="0" applyAlignment="1" applyBorder="1" applyFont="1">
      <alignment readingOrder="0" shrinkToFit="0" vertical="center" wrapText="1"/>
    </xf>
    <xf borderId="8" fillId="0" fontId="2" numFmtId="0" xfId="0" applyAlignment="1" applyBorder="1" applyFont="1">
      <alignment readingOrder="0" shrinkToFit="0" vertical="center" wrapText="1"/>
    </xf>
    <xf borderId="17" fillId="0" fontId="5" numFmtId="0" xfId="0" applyBorder="1" applyFont="1"/>
    <xf borderId="0" fillId="0" fontId="2" numFmtId="0" xfId="0" applyAlignment="1" applyFont="1">
      <alignment readingOrder="0"/>
    </xf>
    <xf borderId="18" fillId="2" fontId="4" numFmtId="0" xfId="0" applyAlignment="1" applyBorder="1" applyFont="1">
      <alignment horizontal="center"/>
    </xf>
    <xf borderId="19" fillId="0" fontId="5" numFmtId="0" xfId="0" applyBorder="1" applyFont="1"/>
    <xf borderId="5" fillId="3" fontId="2" numFmtId="0" xfId="0" applyBorder="1" applyFill="1" applyFont="1"/>
    <xf borderId="9" fillId="0" fontId="2" numFmtId="0" xfId="0" applyAlignment="1" applyBorder="1" applyFont="1">
      <alignment shrinkToFit="0" vertical="center" wrapText="1"/>
    </xf>
    <xf borderId="9" fillId="0" fontId="2" numFmtId="0" xfId="0" applyAlignment="1" applyBorder="1" applyFont="1">
      <alignment readingOrder="0" shrinkToFit="0" vertical="center" wrapText="1"/>
    </xf>
    <xf borderId="9" fillId="0" fontId="11" numFmtId="0" xfId="0" applyAlignment="1" applyBorder="1" applyFont="1">
      <alignment readingOrder="0" shrinkToFit="0" vertical="center" wrapText="1"/>
    </xf>
    <xf borderId="9" fillId="0" fontId="12" numFmtId="0" xfId="0" applyAlignment="1" applyBorder="1" applyFont="1">
      <alignment readingOrder="0" shrinkToFit="0" vertical="center" wrapText="1"/>
    </xf>
    <xf borderId="9" fillId="0" fontId="2" numFmtId="0" xfId="0" applyAlignment="1" applyBorder="1" applyFont="1">
      <alignment horizontal="left" shrinkToFit="0" vertical="top" wrapText="1"/>
    </xf>
    <xf borderId="20" fillId="0" fontId="2" numFmtId="0" xfId="0" applyAlignment="1" applyBorder="1" applyFont="1">
      <alignment readingOrder="0" shrinkToFit="0" vertical="center" wrapText="1"/>
    </xf>
    <xf borderId="21" fillId="0" fontId="5" numFmtId="0" xfId="0" applyBorder="1" applyFont="1"/>
    <xf borderId="5" fillId="3" fontId="2" numFmtId="0" xfId="0" applyAlignment="1" applyBorder="1" applyFont="1">
      <alignment shrinkToFit="0" vertical="center" wrapText="1"/>
    </xf>
    <xf borderId="10" fillId="0" fontId="5" numFmtId="0" xfId="0" applyBorder="1" applyFont="1"/>
    <xf borderId="0" fillId="0" fontId="2" numFmtId="0" xfId="0" applyAlignment="1" applyFont="1">
      <alignment shrinkToFit="0" vertical="center" wrapText="1"/>
    </xf>
    <xf borderId="22" fillId="4" fontId="13" numFmtId="0" xfId="0" applyAlignment="1" applyBorder="1" applyFill="1" applyFont="1">
      <alignment horizontal="center"/>
    </xf>
    <xf borderId="23" fillId="0" fontId="5" numFmtId="0" xfId="0" applyBorder="1" applyFont="1"/>
    <xf borderId="24" fillId="2" fontId="4" numFmtId="0" xfId="0" applyAlignment="1" applyBorder="1" applyFont="1">
      <alignment horizontal="center" shrinkToFit="0" wrapText="1"/>
    </xf>
    <xf borderId="25" fillId="0" fontId="5" numFmtId="0" xfId="0" applyBorder="1" applyFont="1"/>
    <xf borderId="5" fillId="0" fontId="14" numFmtId="0" xfId="0" applyAlignment="1" applyBorder="1" applyFont="1">
      <alignment shrinkToFit="0" vertical="center" wrapText="1"/>
    </xf>
    <xf borderId="5" fillId="0" fontId="14"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0" fillId="0" fontId="9" numFmtId="0" xfId="0" applyAlignment="1" applyFont="1">
      <alignment shrinkToFit="0" wrapText="1"/>
    </xf>
    <xf borderId="26" fillId="2" fontId="15" numFmtId="0" xfId="0" applyAlignment="1" applyBorder="1" applyFont="1">
      <alignment horizontal="center" vertical="center"/>
    </xf>
    <xf borderId="27" fillId="0" fontId="5" numFmtId="0" xfId="0" applyBorder="1" applyFont="1"/>
    <xf borderId="28" fillId="0" fontId="5" numFmtId="0" xfId="0" applyBorder="1" applyFont="1"/>
    <xf borderId="0" fillId="0" fontId="16" numFmtId="0" xfId="0" applyAlignment="1" applyFont="1">
      <alignment vertical="center"/>
    </xf>
    <xf borderId="29" fillId="0" fontId="15" numFmtId="0" xfId="0" applyAlignment="1" applyBorder="1" applyFont="1">
      <alignment horizontal="center"/>
    </xf>
    <xf borderId="30" fillId="0" fontId="15" numFmtId="0" xfId="0" applyAlignment="1" applyBorder="1" applyFont="1">
      <alignment horizontal="center"/>
    </xf>
    <xf borderId="0" fillId="0" fontId="16" numFmtId="0" xfId="0" applyFont="1"/>
    <xf borderId="29" fillId="0" fontId="16" numFmtId="0" xfId="0" applyAlignment="1" applyBorder="1" applyFont="1">
      <alignment horizontal="center" vertical="top"/>
    </xf>
    <xf borderId="30" fillId="0" fontId="16" numFmtId="0" xfId="0" applyAlignment="1" applyBorder="1" applyFont="1">
      <alignment shrinkToFit="0" vertical="top" wrapText="1"/>
    </xf>
    <xf borderId="30" fillId="0" fontId="16" numFmtId="0" xfId="0" applyAlignment="1" applyBorder="1" applyFont="1">
      <alignment horizontal="center"/>
    </xf>
    <xf borderId="31" fillId="5" fontId="16" numFmtId="0" xfId="0" applyBorder="1" applyFill="1" applyFont="1"/>
    <xf borderId="32" fillId="5" fontId="16" numFmtId="0" xfId="0" applyBorder="1" applyFont="1"/>
    <xf borderId="33" fillId="0" fontId="17" numFmtId="0" xfId="0" applyAlignment="1" applyBorder="1" applyFont="1">
      <alignment horizontal="center" vertical="center"/>
    </xf>
    <xf borderId="34" fillId="0" fontId="17" numFmtId="0" xfId="0" applyAlignment="1" applyBorder="1" applyFont="1">
      <alignment horizontal="center" vertical="center"/>
    </xf>
    <xf borderId="34" fillId="0" fontId="17" numFmtId="0" xfId="0" applyAlignment="1" applyBorder="1" applyFont="1">
      <alignment horizontal="center" shrinkToFit="0" vertical="center" wrapText="1"/>
    </xf>
    <xf borderId="35" fillId="0" fontId="17" numFmtId="0" xfId="0" applyAlignment="1" applyBorder="1" applyFont="1">
      <alignment horizontal="center" shrinkToFit="0" vertical="center" wrapText="1"/>
    </xf>
    <xf borderId="36" fillId="6" fontId="18" numFmtId="0" xfId="0" applyAlignment="1" applyBorder="1" applyFill="1" applyFont="1">
      <alignment horizontal="center" vertical="center"/>
    </xf>
    <xf borderId="37" fillId="6" fontId="18" numFmtId="0" xfId="0" applyAlignment="1" applyBorder="1" applyFont="1">
      <alignment horizontal="left" vertical="center"/>
    </xf>
    <xf borderId="37" fillId="6" fontId="18" numFmtId="0" xfId="0" applyAlignment="1" applyBorder="1" applyFont="1">
      <alignment shrinkToFit="0" vertical="center" wrapText="1"/>
    </xf>
    <xf borderId="38" fillId="6" fontId="18" numFmtId="0" xfId="0" applyAlignment="1" applyBorder="1" applyFont="1">
      <alignment horizontal="center" shrinkToFit="0" vertical="center" wrapText="1"/>
    </xf>
    <xf borderId="39" fillId="0" fontId="19" numFmtId="0" xfId="0" applyAlignment="1" applyBorder="1" applyFont="1">
      <alignment vertical="center"/>
    </xf>
    <xf borderId="40" fillId="0" fontId="19" numFmtId="0" xfId="0" applyAlignment="1" applyBorder="1" applyFont="1">
      <alignment vertical="center"/>
    </xf>
    <xf borderId="41" fillId="0" fontId="16" numFmtId="0" xfId="0" applyAlignment="1" applyBorder="1" applyFont="1">
      <alignment vertical="center"/>
    </xf>
    <xf borderId="42" fillId="0" fontId="19" numFmtId="0" xfId="0" applyAlignment="1" applyBorder="1" applyFont="1">
      <alignment vertical="center"/>
    </xf>
    <xf borderId="43" fillId="0" fontId="19" numFmtId="0" xfId="0" applyAlignment="1" applyBorder="1" applyFont="1">
      <alignment vertical="center"/>
    </xf>
    <xf borderId="44" fillId="0" fontId="16" numFmtId="0" xfId="0" applyAlignment="1" applyBorder="1" applyFont="1">
      <alignment vertical="center"/>
    </xf>
    <xf quotePrefix="1" borderId="42" fillId="0" fontId="19" numFmtId="0" xfId="0" applyAlignment="1" applyBorder="1" applyFont="1">
      <alignment horizontal="right" vertical="center"/>
    </xf>
    <xf borderId="41" fillId="0" fontId="19" numFmtId="0" xfId="0" applyAlignment="1" applyBorder="1" applyFont="1">
      <alignment vertical="center"/>
    </xf>
    <xf borderId="44" fillId="0" fontId="19" numFmtId="0" xfId="0" applyAlignment="1" applyBorder="1" applyFont="1">
      <alignment vertical="center"/>
    </xf>
    <xf borderId="36" fillId="6" fontId="20" numFmtId="0" xfId="0" applyAlignment="1" applyBorder="1" applyFont="1">
      <alignment vertical="center"/>
    </xf>
    <xf borderId="37" fillId="6" fontId="18" numFmtId="0" xfId="0" applyAlignment="1" applyBorder="1" applyFont="1">
      <alignment vertical="center"/>
    </xf>
    <xf borderId="37" fillId="6" fontId="20" numFmtId="0" xfId="0" applyAlignment="1" applyBorder="1" applyFont="1">
      <alignment vertical="center"/>
    </xf>
    <xf borderId="38" fillId="6" fontId="20" numFmtId="0" xfId="0" applyAlignment="1" applyBorder="1" applyFont="1">
      <alignment vertical="center"/>
    </xf>
    <xf borderId="39" fillId="0" fontId="19" numFmtId="0" xfId="0" applyAlignment="1" applyBorder="1" applyFont="1">
      <alignment horizontal="right" vertical="center"/>
    </xf>
    <xf borderId="42" fillId="0" fontId="19" numFmtId="0" xfId="0" applyAlignment="1" applyBorder="1" applyFont="1">
      <alignment horizontal="right" vertical="center"/>
    </xf>
    <xf quotePrefix="1" borderId="39" fillId="0" fontId="19" numFmtId="0" xfId="0" applyAlignment="1" applyBorder="1" applyFont="1">
      <alignment horizontal="right" vertical="center"/>
    </xf>
    <xf borderId="39" fillId="0" fontId="14" numFmtId="0" xfId="0" applyAlignment="1" applyBorder="1" applyFont="1">
      <alignment vertical="center"/>
    </xf>
    <xf borderId="36" fillId="6" fontId="18" numFmtId="0" xfId="0" applyAlignment="1" applyBorder="1" applyFont="1">
      <alignment vertical="center"/>
    </xf>
    <xf borderId="42" fillId="0" fontId="14" numFmtId="0" xfId="0" applyAlignment="1" applyBorder="1" applyFont="1">
      <alignment vertical="center"/>
    </xf>
    <xf borderId="39" fillId="0" fontId="16" numFmtId="0" xfId="0" applyAlignment="1" applyBorder="1" applyFont="1">
      <alignment vertical="center"/>
    </xf>
    <xf borderId="42" fillId="0" fontId="16" numFmtId="0" xfId="0" applyAlignment="1" applyBorder="1" applyFont="1">
      <alignment vertical="center"/>
    </xf>
    <xf borderId="40" fillId="0" fontId="19" numFmtId="0" xfId="0" applyAlignment="1" applyBorder="1" applyFont="1">
      <alignment shrinkToFit="0" vertical="center" wrapText="1"/>
    </xf>
    <xf borderId="45" fillId="0" fontId="16" numFmtId="0" xfId="0" applyAlignment="1" applyBorder="1" applyFont="1">
      <alignment vertical="center"/>
    </xf>
    <xf borderId="46" fillId="0" fontId="19" numFmtId="0" xfId="0" applyAlignment="1" applyBorder="1" applyFont="1">
      <alignment vertical="center"/>
    </xf>
    <xf borderId="47" fillId="0" fontId="16" numFmtId="0" xfId="0" applyAlignment="1" applyBorder="1" applyFont="1">
      <alignment vertical="center"/>
    </xf>
    <xf borderId="9" fillId="7" fontId="21" numFmtId="0" xfId="0" applyAlignment="1" applyBorder="1" applyFill="1" applyFont="1">
      <alignment horizontal="center" vertical="center"/>
    </xf>
    <xf borderId="48" fillId="7" fontId="22" numFmtId="0" xfId="0" applyAlignment="1" applyBorder="1" applyFont="1">
      <alignment horizontal="center" readingOrder="0" shrinkToFit="0" vertical="center" wrapText="1"/>
    </xf>
    <xf borderId="34" fillId="7" fontId="21" numFmtId="49" xfId="0" applyAlignment="1" applyBorder="1" applyFont="1" applyNumberFormat="1">
      <alignment horizontal="center" shrinkToFit="0" vertical="center" wrapText="1"/>
    </xf>
    <xf borderId="34" fillId="7" fontId="21" numFmtId="0" xfId="0" applyAlignment="1" applyBorder="1" applyFont="1">
      <alignment horizontal="center" shrinkToFit="0" vertical="center" wrapText="1"/>
    </xf>
    <xf borderId="35" fillId="7" fontId="21" numFmtId="0" xfId="0" applyAlignment="1" applyBorder="1" applyFont="1">
      <alignment horizontal="center" shrinkToFit="0" vertical="center" wrapText="1"/>
    </xf>
    <xf borderId="0" fillId="0" fontId="23" numFmtId="0" xfId="0" applyFont="1"/>
    <xf borderId="49" fillId="8" fontId="18" numFmtId="0" xfId="0" applyAlignment="1" applyBorder="1" applyFill="1" applyFont="1">
      <alignment horizontal="center" vertical="center"/>
    </xf>
    <xf borderId="50" fillId="8" fontId="18" numFmtId="0" xfId="0" applyAlignment="1" applyBorder="1" applyFont="1">
      <alignment horizontal="left" shrinkToFit="0" vertical="center" wrapText="1"/>
    </xf>
    <xf borderId="51" fillId="8" fontId="18" numFmtId="0" xfId="0" applyAlignment="1" applyBorder="1" applyFont="1">
      <alignment horizontal="center" shrinkToFit="0" vertical="center" wrapText="1"/>
    </xf>
    <xf borderId="51" fillId="8" fontId="18" numFmtId="0" xfId="0" applyAlignment="1" applyBorder="1" applyFont="1">
      <alignment shrinkToFit="0" vertical="center" wrapText="1"/>
    </xf>
    <xf borderId="52" fillId="8" fontId="18" numFmtId="0" xfId="0" applyAlignment="1" applyBorder="1" applyFont="1">
      <alignment horizontal="center" shrinkToFit="0" vertical="center" wrapText="1"/>
    </xf>
    <xf borderId="5" fillId="8" fontId="19" numFmtId="0" xfId="0" applyAlignment="1" applyBorder="1" applyFont="1">
      <alignment horizontal="center" vertical="center"/>
    </xf>
    <xf borderId="5" fillId="8" fontId="19" numFmtId="0" xfId="0" applyAlignment="1" applyBorder="1" applyFont="1">
      <alignment shrinkToFit="0" vertical="center" wrapText="1"/>
    </xf>
    <xf borderId="5" fillId="8" fontId="19" numFmtId="0" xfId="0" applyAlignment="1" applyBorder="1" applyFont="1">
      <alignment vertical="center"/>
    </xf>
    <xf borderId="5" fillId="8" fontId="16" numFmtId="0" xfId="0" applyAlignment="1" applyBorder="1" applyFont="1">
      <alignment readingOrder="0" shrinkToFit="0" vertical="center" wrapText="1"/>
    </xf>
    <xf borderId="5" fillId="8" fontId="19" numFmtId="0" xfId="0" applyAlignment="1" applyBorder="1" applyFont="1">
      <alignment readingOrder="0" vertical="center"/>
    </xf>
    <xf borderId="5" fillId="8" fontId="19" numFmtId="0" xfId="0" applyAlignment="1" applyBorder="1" applyFont="1">
      <alignment readingOrder="0" shrinkToFit="0" vertical="center" wrapText="1"/>
    </xf>
    <xf quotePrefix="1" borderId="5" fillId="8" fontId="19" numFmtId="0" xfId="0" applyAlignment="1" applyBorder="1" applyFont="1">
      <alignment horizontal="center" vertical="center"/>
    </xf>
    <xf borderId="23" fillId="8" fontId="19" numFmtId="0" xfId="0" applyAlignment="1" applyBorder="1" applyFont="1">
      <alignment horizontal="center" vertical="center"/>
    </xf>
    <xf borderId="53" fillId="8" fontId="19" numFmtId="0" xfId="0" applyAlignment="1" applyBorder="1" applyFont="1">
      <alignment shrinkToFit="0" vertical="center" wrapText="1"/>
    </xf>
    <xf borderId="54" fillId="8" fontId="19" numFmtId="0" xfId="0" applyAlignment="1" applyBorder="1" applyFont="1">
      <alignment horizontal="center" vertical="center"/>
    </xf>
    <xf borderId="54" fillId="8" fontId="19" numFmtId="0" xfId="0" applyAlignment="1" applyBorder="1" applyFont="1">
      <alignment vertical="center"/>
    </xf>
    <xf borderId="55" fillId="8" fontId="19" numFmtId="0" xfId="0" applyAlignment="1" applyBorder="1" applyFont="1">
      <alignment shrinkToFit="0" vertical="center" wrapText="1"/>
    </xf>
    <xf borderId="49" fillId="8" fontId="20" numFmtId="0" xfId="0" applyAlignment="1" applyBorder="1" applyFont="1">
      <alignment horizontal="center" vertical="center"/>
    </xf>
    <xf borderId="50" fillId="8" fontId="18" numFmtId="0" xfId="0" applyAlignment="1" applyBorder="1" applyFont="1">
      <alignment shrinkToFit="0" vertical="center" wrapText="1"/>
    </xf>
    <xf borderId="51" fillId="8" fontId="20" numFmtId="0" xfId="0" applyAlignment="1" applyBorder="1" applyFont="1">
      <alignment horizontal="center" vertical="center"/>
    </xf>
    <xf borderId="51" fillId="8" fontId="20" numFmtId="0" xfId="0" applyAlignment="1" applyBorder="1" applyFont="1">
      <alignment vertical="center"/>
    </xf>
    <xf borderId="52" fillId="8" fontId="20" numFmtId="0" xfId="0" applyAlignment="1" applyBorder="1" applyFont="1">
      <alignment shrinkToFit="0" vertical="center" wrapText="1"/>
    </xf>
    <xf borderId="5" fillId="8" fontId="24" numFmtId="0" xfId="0" applyAlignment="1" applyBorder="1" applyFont="1">
      <alignment readingOrder="0" shrinkToFit="0" vertical="center" wrapText="1"/>
    </xf>
    <xf borderId="5" fillId="8" fontId="14" numFmtId="0" xfId="0" applyAlignment="1" applyBorder="1" applyFont="1">
      <alignment horizontal="center" vertical="center"/>
    </xf>
    <xf borderId="5" fillId="8" fontId="25" numFmtId="0" xfId="0" applyAlignment="1" applyBorder="1" applyFont="1">
      <alignment readingOrder="0" shrinkToFit="0" vertical="center" wrapText="1"/>
    </xf>
    <xf borderId="8" fillId="8" fontId="16" numFmtId="0" xfId="0" applyAlignment="1" applyBorder="1" applyFont="1">
      <alignment readingOrder="0" shrinkToFit="0" vertical="center" wrapText="1"/>
    </xf>
    <xf borderId="17" fillId="8" fontId="5" numFmtId="0" xfId="0" applyBorder="1" applyFont="1"/>
    <xf borderId="10" fillId="8" fontId="5" numFmtId="0" xfId="0" applyBorder="1" applyFont="1"/>
    <xf borderId="55" fillId="8" fontId="16" numFmtId="0" xfId="0" applyAlignment="1" applyBorder="1" applyFont="1">
      <alignment shrinkToFit="0" vertical="center" wrapText="1"/>
    </xf>
    <xf borderId="56" fillId="8" fontId="19" numFmtId="0" xfId="0" applyAlignment="1" applyBorder="1" applyFont="1">
      <alignment shrinkToFit="0" vertical="center" wrapText="1"/>
    </xf>
    <xf borderId="57" fillId="8" fontId="19" numFmtId="0" xfId="0" applyAlignment="1" applyBorder="1" applyFont="1">
      <alignment horizontal="center" vertical="center"/>
    </xf>
    <xf borderId="57" fillId="8" fontId="19" numFmtId="0" xfId="0" applyAlignment="1" applyBorder="1" applyFont="1">
      <alignment vertical="center"/>
    </xf>
    <xf borderId="58" fillId="8" fontId="16" numFmtId="0" xfId="0" applyAlignment="1" applyBorder="1" applyFont="1">
      <alignment shrinkToFit="0" vertical="center" wrapText="1"/>
    </xf>
    <xf borderId="9" fillId="8" fontId="20" numFmtId="0" xfId="0" applyAlignment="1" applyBorder="1" applyFont="1">
      <alignment horizontal="center" vertical="center"/>
    </xf>
    <xf borderId="9" fillId="8" fontId="18" numFmtId="0" xfId="0" applyAlignment="1" applyBorder="1" applyFont="1">
      <alignment shrinkToFit="0" vertical="center" wrapText="1"/>
    </xf>
    <xf borderId="9" fillId="8" fontId="20" numFmtId="0" xfId="0" applyAlignment="1" applyBorder="1" applyFont="1">
      <alignment vertical="center"/>
    </xf>
    <xf borderId="9" fillId="8" fontId="20" numFmtId="0" xfId="0" applyAlignment="1" applyBorder="1" applyFont="1">
      <alignment shrinkToFit="0" vertical="center" wrapText="1"/>
    </xf>
    <xf borderId="9" fillId="0" fontId="9" numFmtId="0" xfId="0" applyBorder="1" applyFont="1"/>
    <xf borderId="10" fillId="8" fontId="19" numFmtId="0" xfId="0" applyAlignment="1" applyBorder="1" applyFont="1">
      <alignment horizontal="center" vertical="center"/>
    </xf>
    <xf borderId="10" fillId="8" fontId="19" numFmtId="0" xfId="0" applyAlignment="1" applyBorder="1" applyFont="1">
      <alignment shrinkToFit="0" vertical="center" wrapText="1"/>
    </xf>
    <xf borderId="10" fillId="8" fontId="19" numFmtId="0" xfId="0" applyAlignment="1" applyBorder="1" applyFont="1">
      <alignment readingOrder="0" vertical="center"/>
    </xf>
    <xf borderId="8" fillId="8" fontId="26" numFmtId="0" xfId="0" applyAlignment="1" applyBorder="1" applyFont="1">
      <alignment readingOrder="0" shrinkToFit="0" vertical="center" wrapText="1"/>
    </xf>
    <xf borderId="5" fillId="8" fontId="16" numFmtId="0" xfId="0" applyAlignment="1" applyBorder="1" applyFont="1">
      <alignment horizontal="center" vertical="center"/>
    </xf>
    <xf borderId="23" fillId="8" fontId="16" numFmtId="0" xfId="0" applyAlignment="1" applyBorder="1" applyFont="1">
      <alignment horizontal="center" vertical="center"/>
    </xf>
    <xf borderId="59" fillId="8" fontId="19" numFmtId="0" xfId="0" applyAlignment="1" applyBorder="1" applyFont="1">
      <alignment shrinkToFit="0" vertical="center" wrapText="1"/>
    </xf>
    <xf borderId="60" fillId="8" fontId="19" numFmtId="0" xfId="0" applyAlignment="1" applyBorder="1" applyFont="1">
      <alignment horizontal="center" vertical="center"/>
    </xf>
    <xf borderId="60" fillId="8" fontId="19" numFmtId="0" xfId="0" applyAlignment="1" applyBorder="1" applyFont="1">
      <alignment vertical="center"/>
    </xf>
    <xf borderId="61" fillId="8" fontId="16" numFmtId="0" xfId="0" applyAlignment="1" applyBorder="1" applyFont="1">
      <alignment shrinkToFit="0" vertical="center" wrapText="1"/>
    </xf>
    <xf borderId="33" fillId="0" fontId="19" numFmtId="49" xfId="0" applyAlignment="1" applyBorder="1" applyFont="1" applyNumberFormat="1">
      <alignment horizontal="center" vertical="center"/>
    </xf>
    <xf borderId="34" fillId="0" fontId="19" numFmtId="49" xfId="0" applyAlignment="1" applyBorder="1" applyFont="1" applyNumberFormat="1">
      <alignment horizontal="center" shrinkToFit="0" vertical="center" wrapText="1"/>
    </xf>
    <xf borderId="35" fillId="0" fontId="19" numFmtId="49" xfId="0" applyAlignment="1" applyBorder="1" applyFont="1" applyNumberFormat="1">
      <alignment horizontal="center" shrinkToFit="0" vertical="center" wrapText="1"/>
    </xf>
    <xf borderId="37" fillId="6" fontId="18" numFmtId="0" xfId="0" applyAlignment="1" applyBorder="1" applyFont="1">
      <alignment horizontal="left" shrinkToFit="0" vertical="center" wrapText="1"/>
    </xf>
    <xf borderId="37" fillId="6" fontId="18" numFmtId="0" xfId="0" applyAlignment="1" applyBorder="1" applyFont="1">
      <alignment horizontal="center" shrinkToFit="0" vertical="center" wrapText="1"/>
    </xf>
    <xf borderId="42" fillId="0" fontId="19" numFmtId="0" xfId="0" applyAlignment="1" applyBorder="1" applyFont="1">
      <alignment horizontal="center" vertical="center"/>
    </xf>
    <xf borderId="43" fillId="0" fontId="19" numFmtId="0" xfId="0" applyAlignment="1" applyBorder="1" applyFont="1">
      <alignment shrinkToFit="0" vertical="center" wrapText="1"/>
    </xf>
    <xf borderId="43" fillId="0" fontId="19" numFmtId="0" xfId="0" applyAlignment="1" applyBorder="1" applyFont="1">
      <alignment horizontal="center" vertical="center"/>
    </xf>
    <xf borderId="44" fillId="0" fontId="16" numFmtId="0" xfId="0" applyAlignment="1" applyBorder="1" applyFont="1">
      <alignment horizontal="center" vertical="center"/>
    </xf>
    <xf quotePrefix="1" borderId="42" fillId="0" fontId="19" numFmtId="0" xfId="0" applyAlignment="1" applyBorder="1" applyFont="1">
      <alignment horizontal="center" vertical="center"/>
    </xf>
    <xf borderId="44" fillId="0" fontId="19" numFmtId="0" xfId="0" applyAlignment="1" applyBorder="1" applyFont="1">
      <alignment horizontal="center" vertical="center"/>
    </xf>
    <xf borderId="36" fillId="6" fontId="20" numFmtId="0" xfId="0" applyAlignment="1" applyBorder="1" applyFont="1">
      <alignment horizontal="center" vertical="center"/>
    </xf>
    <xf borderId="37" fillId="6" fontId="20" numFmtId="0" xfId="0" applyAlignment="1" applyBorder="1" applyFont="1">
      <alignment horizontal="center" vertical="center"/>
    </xf>
    <xf borderId="38" fillId="6" fontId="20" numFmtId="0" xfId="0" applyAlignment="1" applyBorder="1" applyFont="1">
      <alignment horizontal="center" vertical="center"/>
    </xf>
    <xf borderId="42" fillId="0" fontId="14" numFmtId="0" xfId="0" applyAlignment="1" applyBorder="1" applyFont="1">
      <alignment horizontal="center" vertical="center"/>
    </xf>
    <xf borderId="42" fillId="0" fontId="16" numFmtId="0" xfId="0" applyAlignment="1" applyBorder="1" applyFont="1">
      <alignment horizontal="center" vertical="center"/>
    </xf>
    <xf borderId="62" fillId="0" fontId="16" numFmtId="0" xfId="0" applyAlignment="1" applyBorder="1" applyFont="1">
      <alignment horizontal="center" vertical="center"/>
    </xf>
    <xf borderId="63" fillId="0" fontId="19" numFmtId="0" xfId="0" applyAlignment="1" applyBorder="1" applyFont="1">
      <alignment shrinkToFit="0" vertical="center" wrapText="1"/>
    </xf>
    <xf borderId="63" fillId="0" fontId="19" numFmtId="0" xfId="0" applyAlignment="1" applyBorder="1" applyFont="1">
      <alignment horizontal="center" vertical="center"/>
    </xf>
    <xf borderId="64" fillId="0" fontId="16" numFmtId="0" xfId="0" applyAlignment="1" applyBorder="1" applyFont="1">
      <alignment horizontal="center" vertical="center"/>
    </xf>
    <xf borderId="0" fillId="0" fontId="14" numFmtId="0" xfId="0" applyAlignment="1" applyFont="1">
      <alignment shrinkToFit="0" wrapText="1"/>
    </xf>
    <xf borderId="0" fillId="0" fontId="27" numFmtId="0" xfId="0" applyAlignment="1" applyFont="1">
      <alignment readingOrder="0" shrinkToFit="0" vertical="center" wrapText="1"/>
    </xf>
    <xf borderId="9" fillId="0" fontId="4" numFmtId="0" xfId="0" applyBorder="1" applyFont="1"/>
    <xf borderId="9" fillId="0" fontId="4" numFmtId="0" xfId="0" applyAlignment="1" applyBorder="1" applyFont="1">
      <alignment horizontal="center" readingOrder="0" shrinkToFit="0" wrapText="1"/>
    </xf>
    <xf borderId="9" fillId="0" fontId="28" numFmtId="0" xfId="0" applyAlignment="1" applyBorder="1" applyFont="1">
      <alignment vertical="bottom"/>
    </xf>
    <xf borderId="0" fillId="0" fontId="4" numFmtId="0" xfId="0" applyAlignment="1" applyFont="1">
      <alignment horizontal="center"/>
    </xf>
    <xf borderId="0" fillId="0" fontId="29" numFmtId="0" xfId="0" applyFont="1"/>
    <xf borderId="9" fillId="0" fontId="30" numFmtId="0" xfId="0" applyAlignment="1" applyBorder="1" applyFont="1">
      <alignment vertical="bottom"/>
    </xf>
    <xf borderId="9" fillId="0" fontId="31" numFmtId="0" xfId="0" applyBorder="1" applyFont="1"/>
    <xf borderId="9" fillId="0" fontId="30" numFmtId="0" xfId="0" applyAlignment="1" applyBorder="1" applyFont="1">
      <alignment vertical="bottom"/>
    </xf>
    <xf borderId="0" fillId="0" fontId="14" numFmtId="0" xfId="0" applyAlignment="1" applyFont="1">
      <alignment horizontal="center"/>
    </xf>
    <xf borderId="9" fillId="0" fontId="32" numFmtId="0" xfId="0" applyAlignment="1" applyBorder="1" applyFont="1">
      <alignment vertical="bottom"/>
    </xf>
    <xf borderId="18" fillId="0" fontId="29" numFmtId="0" xfId="0" applyAlignment="1" applyBorder="1" applyFont="1">
      <alignment readingOrder="0"/>
    </xf>
    <xf borderId="65" fillId="0" fontId="5" numFmtId="0" xfId="0" applyBorder="1" applyFont="1"/>
    <xf borderId="22" fillId="9" fontId="20" numFmtId="0" xfId="0" applyBorder="1" applyFill="1" applyFont="1"/>
    <xf borderId="22" fillId="9" fontId="33" numFmtId="0" xfId="0" applyBorder="1" applyFont="1"/>
    <xf borderId="0" fillId="0" fontId="19" numFmtId="0" xfId="0" applyFont="1"/>
    <xf borderId="0" fillId="0" fontId="19" numFmtId="0" xfId="0" applyAlignment="1" applyFont="1">
      <alignment readingOrder="0" shrinkToFit="0" wrapText="1"/>
    </xf>
    <xf borderId="0" fillId="0" fontId="16" numFmtId="0" xfId="0" applyAlignment="1" applyFont="1">
      <alignment readingOrder="0"/>
    </xf>
    <xf borderId="0" fillId="0" fontId="16" numFmtId="1" xfId="0" applyFont="1" applyNumberFormat="1"/>
    <xf borderId="0" fillId="0" fontId="19" numFmtId="0" xfId="0" applyAlignment="1" applyFont="1">
      <alignment horizontal="right" readingOrder="0"/>
    </xf>
    <xf borderId="0" fillId="0" fontId="34" numFmtId="0" xfId="0" applyFont="1"/>
    <xf borderId="0" fillId="0" fontId="35" numFmtId="0" xfId="0" applyFont="1"/>
    <xf borderId="0" fillId="0" fontId="19" numFmtId="0" xfId="0" applyAlignment="1" applyFont="1">
      <alignment readingOrder="0"/>
    </xf>
    <xf borderId="0" fillId="0" fontId="19" numFmtId="164" xfId="0" applyFont="1" applyNumberFormat="1"/>
    <xf borderId="0" fillId="0" fontId="9" numFmtId="164" xfId="0" applyFont="1" applyNumberFormat="1"/>
    <xf borderId="0" fillId="0" fontId="19" numFmtId="164" xfId="0" applyAlignment="1" applyFont="1" applyNumberFormat="1">
      <alignment readingOrder="0"/>
    </xf>
    <xf borderId="22" fillId="4" fontId="35" numFmtId="0" xfId="0" applyBorder="1" applyFont="1"/>
    <xf borderId="9" fillId="0" fontId="19" numFmtId="0" xfId="0" applyAlignment="1" applyBorder="1" applyFont="1">
      <alignment readingOrder="0"/>
    </xf>
    <xf borderId="9" fillId="0" fontId="19" numFmtId="0" xfId="0" applyAlignment="1" applyBorder="1" applyFont="1">
      <alignment horizontal="right" readingOrder="0"/>
    </xf>
    <xf borderId="9" fillId="0" fontId="19" numFmtId="164" xfId="0" applyAlignment="1" applyBorder="1" applyFont="1" applyNumberFormat="1">
      <alignment horizontal="right" readingOrder="0"/>
    </xf>
    <xf borderId="9" fillId="0" fontId="19" numFmtId="9" xfId="0" applyAlignment="1" applyBorder="1" applyFont="1" applyNumberFormat="1">
      <alignment readingOrder="0"/>
    </xf>
    <xf borderId="9" fillId="0" fontId="19" numFmtId="164" xfId="0" applyBorder="1" applyFont="1" applyNumberFormat="1"/>
    <xf borderId="0" fillId="0" fontId="19" numFmtId="164" xfId="0" applyFont="1" applyNumberFormat="1"/>
    <xf borderId="9" fillId="0" fontId="9" numFmtId="164" xfId="0" applyAlignment="1" applyBorder="1" applyFont="1" applyNumberFormat="1">
      <alignment readingOrder="0"/>
    </xf>
    <xf borderId="9" fillId="0" fontId="36" numFmtId="9" xfId="0" applyAlignment="1" applyBorder="1" applyFont="1" applyNumberFormat="1">
      <alignment readingOrder="0"/>
    </xf>
    <xf borderId="9" fillId="0" fontId="9" numFmtId="164" xfId="0" applyBorder="1" applyFont="1" applyNumberFormat="1"/>
    <xf borderId="9" fillId="10" fontId="17" numFmtId="0" xfId="0" applyAlignment="1" applyBorder="1" applyFill="1" applyFont="1">
      <alignment readingOrder="0"/>
    </xf>
    <xf borderId="9" fillId="10" fontId="17" numFmtId="164" xfId="0" applyBorder="1" applyFont="1" applyNumberFormat="1"/>
    <xf borderId="9" fillId="10" fontId="17" numFmtId="10" xfId="0" applyAlignment="1" applyBorder="1" applyFont="1" applyNumberFormat="1">
      <alignment readingOrder="0"/>
    </xf>
    <xf borderId="9" fillId="11" fontId="17" numFmtId="164" xfId="0" applyBorder="1" applyFill="1" applyFont="1" applyNumberFormat="1"/>
    <xf borderId="0" fillId="0" fontId="17" numFmtId="164" xfId="0" applyFont="1" applyNumberFormat="1"/>
    <xf borderId="9" fillId="0" fontId="19" numFmtId="9" xfId="0" applyAlignment="1" applyBorder="1" applyFont="1" applyNumberFormat="1">
      <alignment horizontal="right" readingOrder="0"/>
    </xf>
    <xf borderId="9" fillId="0" fontId="19" numFmtId="164" xfId="0" applyAlignment="1" applyBorder="1" applyFont="1" applyNumberFormat="1">
      <alignment readingOrder="0"/>
    </xf>
    <xf borderId="0" fillId="0" fontId="17" numFmtId="0" xfId="0" applyFont="1"/>
    <xf borderId="9" fillId="0" fontId="17" numFmtId="0" xfId="0" applyAlignment="1" applyBorder="1" applyFont="1">
      <alignment readingOrder="0"/>
    </xf>
    <xf borderId="9" fillId="0" fontId="17" numFmtId="164" xfId="0" applyBorder="1" applyFont="1" applyNumberFormat="1"/>
    <xf borderId="9" fillId="0" fontId="17" numFmtId="0" xfId="0" applyBorder="1" applyFont="1"/>
    <xf borderId="9" fillId="11" fontId="17" numFmtId="164" xfId="0" applyAlignment="1" applyBorder="1" applyFont="1" applyNumberFormat="1">
      <alignment readingOrder="0"/>
    </xf>
    <xf borderId="19" fillId="0" fontId="29" numFmtId="0" xfId="0" applyBorder="1" applyFont="1"/>
    <xf borderId="9" fillId="0" fontId="29" numFmtId="0" xfId="0" applyBorder="1" applyFont="1"/>
    <xf borderId="22" fillId="12" fontId="37" numFmtId="0" xfId="0" applyBorder="1" applyFill="1" applyFont="1"/>
    <xf borderId="0" fillId="0" fontId="38" numFmtId="0" xfId="0" applyAlignment="1" applyFont="1">
      <alignment vertical="center"/>
    </xf>
    <xf borderId="0" fillId="0" fontId="37" numFmtId="0" xfId="0" applyFont="1"/>
    <xf borderId="66" fillId="9" fontId="39" numFmtId="0" xfId="0" applyAlignment="1" applyBorder="1" applyFont="1">
      <alignment horizontal="center" vertical="center"/>
    </xf>
    <xf borderId="67" fillId="0" fontId="5" numFmtId="0" xfId="0" applyBorder="1" applyFont="1"/>
    <xf borderId="18" fillId="13" fontId="35" numFmtId="0" xfId="0" applyAlignment="1" applyBorder="1" applyFill="1" applyFont="1">
      <alignment horizontal="left" shrinkToFit="0" vertical="top" wrapText="1"/>
    </xf>
    <xf borderId="18" fillId="0" fontId="40" numFmtId="0" xfId="0" applyAlignment="1" applyBorder="1" applyFont="1">
      <alignment readingOrder="0"/>
    </xf>
    <xf borderId="18" fillId="0" fontId="35" numFmtId="0" xfId="0" applyAlignment="1" applyBorder="1" applyFont="1">
      <alignment readingOrder="0"/>
    </xf>
    <xf borderId="65" fillId="0" fontId="35" numFmtId="0" xfId="0" applyBorder="1" applyFont="1"/>
    <xf borderId="19" fillId="0" fontId="35" numFmtId="0" xfId="0" applyBorder="1" applyFont="1"/>
    <xf borderId="18" fillId="12" fontId="35" numFmtId="0" xfId="0" applyAlignment="1" applyBorder="1" applyFont="1">
      <alignment readingOrder="0"/>
    </xf>
    <xf borderId="18" fillId="14" fontId="35" numFmtId="0" xfId="0" applyAlignment="1" applyBorder="1" applyFill="1" applyFont="1">
      <alignment readingOrder="0"/>
    </xf>
    <xf borderId="0" fillId="0" fontId="41" numFmtId="0" xfId="0"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Overall System Requirements-style">
      <tableStyleElement dxfId="1" type="headerRow"/>
      <tableStyleElement dxfId="2" type="firstRowStripe"/>
      <tableStyleElement dxfId="3" type="secondRowStripe"/>
    </tableStyle>
    <tableStyle count="3" pivot="0" name="Technical Requirements-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63" displayName="Table_1" name="Table_1" id="1">
  <tableColumns count="4">
    <tableColumn name="Number" id="1"/>
    <tableColumn name="General Functionality" id="2"/>
    <tableColumn name="Is functionality standard, configured, customized (paid), or not available?" id="3"/>
    <tableColumn name="If functionality available, please provide details and explain how it must be configured or customized, if at all_x000a__x000a_If not available, please provide details, and indicate date it will be available if on product roadmap." id="4"/>
  </tableColumns>
  <tableStyleInfo name="Overall System Requirements-style" showColumnStripes="0" showFirstColumn="1" showLastColumn="1" showRowStripes="1"/>
</table>
</file>

<file path=xl/tables/table2.xml><?xml version="1.0" encoding="utf-8"?>
<table xmlns="http://schemas.openxmlformats.org/spreadsheetml/2006/main" ref="A1:E163" displayName="Table_2" name="Table_2" id="2">
  <tableColumns count="5">
    <tableColumn name="Number" id="1"/>
    <tableColumn name="General Functionality" id="2"/>
    <tableColumn name="Business Priority (High/Medium/Low)" id="3"/>
    <tableColumn name="&quot;Vendor ability to support&quot;" id="4"/>
    <tableColumn name="Vendor Comments" id="5"/>
  </tableColumns>
  <tableStyleInfo name="Technical Require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zluri.com/our-story" TargetMode="External"/><Relationship Id="rId2" Type="http://schemas.openxmlformats.org/officeDocument/2006/relationships/hyperlink" Target="https://www.zluri.com/case-studies" TargetMode="External"/><Relationship Id="rId3" Type="http://schemas.openxmlformats.org/officeDocument/2006/relationships/hyperlink" Target="https://www.zluri.com/our-story" TargetMode="External"/><Relationship Id="rId4" Type="http://schemas.openxmlformats.org/officeDocument/2006/relationships/hyperlink" Target="http://1.name/" TargetMode="External"/><Relationship Id="rId5" Type="http://schemas.openxmlformats.org/officeDocument/2006/relationships/hyperlink" Target="http://2.name/" TargetMode="External"/><Relationship Id="rId6" Type="http://schemas.openxmlformats.org/officeDocument/2006/relationships/hyperlink" Target="https://www.zluri.com/" TargetMode="External"/><Relationship Id="rId7" Type="http://schemas.openxmlformats.org/officeDocument/2006/relationships/hyperlink" Target="https://www.zluri.com/blog/series-b-fundin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trust.zluri.com/" TargetMode="External"/><Relationship Id="rId2" Type="http://schemas.openxmlformats.org/officeDocument/2006/relationships/hyperlink" Target="https://help.zluri.com/docs/desktop-agents" TargetMode="External"/><Relationship Id="rId3" Type="http://schemas.openxmlformats.org/officeDocument/2006/relationships/hyperlink" Target="https://www.zluri.com/integrations" TargetMode="External"/><Relationship Id="rId4" Type="http://schemas.openxmlformats.org/officeDocument/2006/relationships/hyperlink" Target="https://www.zluri.com/integrations" TargetMode="External"/><Relationship Id="rId9" Type="http://schemas.openxmlformats.org/officeDocument/2006/relationships/drawing" Target="../drawings/drawing4.xml"/><Relationship Id="rId5" Type="http://schemas.openxmlformats.org/officeDocument/2006/relationships/hyperlink" Target="https://www.zluri.com/integrations" TargetMode="External"/><Relationship Id="rId6" Type="http://schemas.openxmlformats.org/officeDocument/2006/relationships/hyperlink" Target="https://documenter.getpostman.com/view/14878368/2s8YzZQeoZ" TargetMode="External"/><Relationship Id="rId7" Type="http://schemas.openxmlformats.org/officeDocument/2006/relationships/hyperlink" Target="https://documenter.getpostman.com/view/14878368/2s8YzZQeoZ" TargetMode="External"/><Relationship Id="rId8" Type="http://schemas.openxmlformats.org/officeDocument/2006/relationships/hyperlink" Target="https://help.zluri.com/docs/zluri-integration-sd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zluri.com/integrations" TargetMode="External"/><Relationship Id="rId2" Type="http://schemas.openxmlformats.org/officeDocument/2006/relationships/hyperlink" Target="http://monday.com" TargetMode="External"/><Relationship Id="rId3" Type="http://schemas.openxmlformats.org/officeDocument/2006/relationships/hyperlink" Target="http://apollo.io" TargetMode="External"/><Relationship Id="rId4" Type="http://schemas.openxmlformats.org/officeDocument/2006/relationships/hyperlink" Target="http://logz.io" TargetMode="External"/><Relationship Id="rId5" Type="http://schemas.openxmlformats.org/officeDocument/2006/relationships/hyperlink" Target="http://frame.io"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rust.zluri.com/),%20%5BSecurity%5D(https://www.zluri.com/security/),%20and%20%5BPrivacy%20Policy%5D(https://www.zluri.com/privacy-policy/" TargetMode="External"/><Relationship Id="rId2" Type="http://schemas.openxmlformats.org/officeDocument/2006/relationships/hyperlink" Target="https://trust.zluri.com/"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7.88"/>
    <col customWidth="1" min="2" max="2" width="53.63"/>
    <col customWidth="1" min="3" max="3" width="5.38"/>
    <col customWidth="1" min="4" max="4" width="40.5"/>
    <col customWidth="1" min="5" max="5" width="44.63"/>
    <col customWidth="1" min="6" max="24" width="13.88"/>
    <col customWidth="1" min="25" max="25" width="14.5"/>
  </cols>
  <sheetData>
    <row r="1">
      <c r="A1" s="1" t="s">
        <v>0</v>
      </c>
      <c r="B1" s="2"/>
      <c r="C1" s="3"/>
      <c r="D1" s="3"/>
      <c r="E1" s="3"/>
      <c r="F1" s="3"/>
      <c r="G1" s="3"/>
      <c r="H1" s="3"/>
      <c r="I1" s="3"/>
      <c r="J1" s="3"/>
      <c r="K1" s="3"/>
      <c r="L1" s="3"/>
      <c r="M1" s="3"/>
      <c r="N1" s="3"/>
      <c r="O1" s="3"/>
      <c r="P1" s="3"/>
      <c r="Q1" s="3"/>
      <c r="R1" s="3"/>
      <c r="S1" s="3"/>
      <c r="T1" s="3"/>
      <c r="U1" s="3"/>
      <c r="V1" s="3"/>
      <c r="W1" s="3"/>
      <c r="X1" s="3"/>
      <c r="Y1" s="4"/>
      <c r="Z1" s="4"/>
    </row>
    <row r="2">
      <c r="A2" s="5" t="s">
        <v>1</v>
      </c>
      <c r="B2" s="6"/>
      <c r="C2" s="3"/>
      <c r="D2" s="5" t="s">
        <v>2</v>
      </c>
      <c r="E2" s="6"/>
      <c r="F2" s="3"/>
      <c r="G2" s="3"/>
      <c r="H2" s="3"/>
      <c r="I2" s="3"/>
      <c r="J2" s="3"/>
      <c r="K2" s="3"/>
      <c r="L2" s="3"/>
      <c r="M2" s="3"/>
      <c r="N2" s="3"/>
      <c r="O2" s="3"/>
      <c r="P2" s="3"/>
      <c r="Q2" s="3"/>
      <c r="R2" s="3"/>
      <c r="S2" s="3"/>
      <c r="T2" s="3"/>
      <c r="U2" s="3"/>
      <c r="V2" s="3"/>
      <c r="W2" s="3"/>
      <c r="X2" s="3"/>
      <c r="Y2" s="4"/>
      <c r="Z2" s="4"/>
    </row>
    <row r="3">
      <c r="A3" s="7"/>
      <c r="B3" s="8"/>
      <c r="C3" s="3"/>
      <c r="D3" s="7"/>
      <c r="E3" s="8"/>
      <c r="F3" s="3"/>
      <c r="G3" s="3"/>
      <c r="H3" s="3"/>
      <c r="I3" s="3"/>
      <c r="J3" s="3"/>
      <c r="K3" s="3"/>
      <c r="L3" s="3"/>
      <c r="M3" s="3"/>
      <c r="N3" s="3"/>
      <c r="O3" s="3"/>
      <c r="P3" s="3"/>
      <c r="Q3" s="3"/>
      <c r="R3" s="3"/>
      <c r="S3" s="3"/>
      <c r="T3" s="3"/>
      <c r="U3" s="3"/>
      <c r="V3" s="3"/>
      <c r="W3" s="3"/>
      <c r="X3" s="3"/>
      <c r="Y3" s="4"/>
      <c r="Z3" s="4"/>
    </row>
    <row r="4">
      <c r="A4" s="9" t="s">
        <v>3</v>
      </c>
      <c r="B4" s="10" t="s">
        <v>4</v>
      </c>
      <c r="C4" s="3"/>
      <c r="D4" s="11" t="s">
        <v>5</v>
      </c>
      <c r="E4" s="12"/>
      <c r="F4" s="3"/>
      <c r="G4" s="3"/>
      <c r="H4" s="3"/>
      <c r="I4" s="3"/>
      <c r="J4" s="3"/>
      <c r="K4" s="3"/>
      <c r="L4" s="3"/>
      <c r="M4" s="3"/>
      <c r="N4" s="3"/>
      <c r="O4" s="3"/>
      <c r="P4" s="3"/>
      <c r="Q4" s="3"/>
      <c r="R4" s="3"/>
      <c r="S4" s="3"/>
      <c r="T4" s="3"/>
      <c r="U4" s="3"/>
      <c r="V4" s="3"/>
      <c r="W4" s="3"/>
      <c r="X4" s="3"/>
      <c r="Y4" s="4"/>
      <c r="Z4" s="4"/>
    </row>
    <row r="5">
      <c r="A5" s="9" t="s">
        <v>6</v>
      </c>
      <c r="B5" s="13" t="s">
        <v>7</v>
      </c>
      <c r="C5" s="3"/>
      <c r="D5" s="14"/>
      <c r="E5" s="12"/>
      <c r="F5" s="3"/>
      <c r="G5" s="3"/>
      <c r="H5" s="3"/>
      <c r="I5" s="3"/>
      <c r="J5" s="3"/>
      <c r="K5" s="3"/>
      <c r="L5" s="3"/>
      <c r="M5" s="3"/>
      <c r="N5" s="3"/>
      <c r="O5" s="3"/>
      <c r="P5" s="3"/>
      <c r="Q5" s="3"/>
      <c r="R5" s="3"/>
      <c r="S5" s="3"/>
      <c r="T5" s="3"/>
      <c r="U5" s="3"/>
      <c r="V5" s="3"/>
      <c r="W5" s="3"/>
      <c r="X5" s="3"/>
      <c r="Y5" s="4"/>
      <c r="Z5" s="4"/>
    </row>
    <row r="6">
      <c r="A6" s="15" t="s">
        <v>8</v>
      </c>
      <c r="B6" s="16" t="s">
        <v>9</v>
      </c>
      <c r="C6" s="3"/>
      <c r="D6" s="14"/>
      <c r="E6" s="12"/>
      <c r="F6" s="3"/>
      <c r="G6" s="3"/>
      <c r="H6" s="3"/>
      <c r="I6" s="3"/>
      <c r="J6" s="3"/>
      <c r="K6" s="3"/>
      <c r="L6" s="3"/>
      <c r="M6" s="3"/>
      <c r="N6" s="3"/>
      <c r="O6" s="3"/>
      <c r="P6" s="3"/>
      <c r="Q6" s="3"/>
      <c r="R6" s="3"/>
      <c r="S6" s="3"/>
      <c r="T6" s="3"/>
      <c r="U6" s="3"/>
      <c r="V6" s="3"/>
      <c r="W6" s="3"/>
      <c r="X6" s="3"/>
      <c r="Y6" s="4"/>
      <c r="Z6" s="4"/>
    </row>
    <row r="7">
      <c r="A7" s="9" t="s">
        <v>10</v>
      </c>
      <c r="B7" s="17" t="s">
        <v>11</v>
      </c>
      <c r="C7" s="3"/>
      <c r="D7" s="14"/>
      <c r="E7" s="12"/>
      <c r="F7" s="3"/>
      <c r="G7" s="3"/>
      <c r="H7" s="3"/>
      <c r="I7" s="3"/>
      <c r="J7" s="3"/>
      <c r="K7" s="3"/>
      <c r="L7" s="3"/>
      <c r="M7" s="3"/>
      <c r="N7" s="3"/>
      <c r="O7" s="3"/>
      <c r="P7" s="3"/>
      <c r="Q7" s="3"/>
      <c r="R7" s="3"/>
      <c r="S7" s="3"/>
      <c r="T7" s="3"/>
      <c r="U7" s="3"/>
      <c r="V7" s="3"/>
      <c r="W7" s="3"/>
      <c r="X7" s="3"/>
      <c r="Y7" s="4"/>
      <c r="Z7" s="4"/>
    </row>
    <row r="8">
      <c r="A8" s="18" t="s">
        <v>12</v>
      </c>
      <c r="B8" s="19" t="s">
        <v>13</v>
      </c>
      <c r="C8" s="3"/>
      <c r="D8" s="14"/>
      <c r="E8" s="12"/>
      <c r="F8" s="3"/>
      <c r="G8" s="3"/>
      <c r="H8" s="3"/>
      <c r="I8" s="3"/>
      <c r="J8" s="3"/>
      <c r="K8" s="3"/>
      <c r="L8" s="3"/>
      <c r="M8" s="3"/>
      <c r="N8" s="3"/>
      <c r="O8" s="3"/>
      <c r="P8" s="3"/>
      <c r="Q8" s="3"/>
      <c r="R8" s="3"/>
      <c r="S8" s="3"/>
      <c r="T8" s="3"/>
      <c r="U8" s="3"/>
      <c r="V8" s="3"/>
      <c r="W8" s="3"/>
      <c r="X8" s="3"/>
      <c r="Y8" s="4"/>
      <c r="Z8" s="4"/>
    </row>
    <row r="9">
      <c r="A9" s="9" t="s">
        <v>14</v>
      </c>
      <c r="B9" s="20" t="s">
        <v>15</v>
      </c>
      <c r="C9" s="3"/>
      <c r="D9" s="14"/>
      <c r="E9" s="12"/>
      <c r="F9" s="3"/>
      <c r="G9" s="3"/>
      <c r="H9" s="3"/>
      <c r="I9" s="3"/>
      <c r="J9" s="3"/>
      <c r="K9" s="3"/>
      <c r="L9" s="3"/>
      <c r="M9" s="3"/>
      <c r="N9" s="3"/>
      <c r="O9" s="3"/>
      <c r="P9" s="3"/>
      <c r="Q9" s="3"/>
      <c r="R9" s="3"/>
      <c r="S9" s="3"/>
      <c r="T9" s="3"/>
      <c r="U9" s="3"/>
      <c r="V9" s="3"/>
      <c r="W9" s="3"/>
      <c r="X9" s="3"/>
      <c r="Y9" s="4"/>
      <c r="Z9" s="4"/>
    </row>
    <row r="10">
      <c r="A10" s="9" t="s">
        <v>16</v>
      </c>
      <c r="B10" s="19" t="s">
        <v>17</v>
      </c>
      <c r="C10" s="3"/>
      <c r="D10" s="14"/>
      <c r="E10" s="12"/>
      <c r="F10" s="3"/>
      <c r="G10" s="3"/>
      <c r="H10" s="3"/>
      <c r="I10" s="3"/>
      <c r="J10" s="3"/>
      <c r="K10" s="3"/>
      <c r="L10" s="3"/>
      <c r="M10" s="3"/>
      <c r="N10" s="3"/>
      <c r="O10" s="3"/>
      <c r="P10" s="3"/>
      <c r="Q10" s="3"/>
      <c r="R10" s="3"/>
      <c r="S10" s="3"/>
      <c r="T10" s="3"/>
      <c r="U10" s="3"/>
      <c r="V10" s="3"/>
      <c r="W10" s="3"/>
      <c r="X10" s="3"/>
      <c r="Y10" s="4"/>
      <c r="Z10" s="4"/>
    </row>
    <row r="11">
      <c r="A11" s="21" t="s">
        <v>18</v>
      </c>
      <c r="B11" s="19" t="s">
        <v>19</v>
      </c>
      <c r="C11" s="3"/>
      <c r="D11" s="3"/>
      <c r="E11" s="3"/>
      <c r="F11" s="3"/>
      <c r="G11" s="3"/>
      <c r="H11" s="3"/>
      <c r="I11" s="3"/>
      <c r="J11" s="3"/>
      <c r="K11" s="3"/>
      <c r="L11" s="3"/>
      <c r="M11" s="3"/>
      <c r="N11" s="3"/>
      <c r="O11" s="3"/>
      <c r="P11" s="3"/>
      <c r="Q11" s="3"/>
      <c r="R11" s="3"/>
      <c r="S11" s="3"/>
      <c r="T11" s="3"/>
      <c r="U11" s="3"/>
      <c r="V11" s="3"/>
      <c r="W11" s="3"/>
      <c r="X11" s="3"/>
      <c r="Y11" s="4"/>
      <c r="Z11" s="4"/>
    </row>
    <row r="12">
      <c r="A12" s="21" t="s">
        <v>20</v>
      </c>
      <c r="B12" s="19" t="s">
        <v>21</v>
      </c>
      <c r="C12" s="3"/>
      <c r="D12" s="22" t="s">
        <v>22</v>
      </c>
      <c r="E12" s="6"/>
      <c r="F12" s="3"/>
      <c r="G12" s="3"/>
      <c r="H12" s="3"/>
      <c r="I12" s="3"/>
      <c r="J12" s="3"/>
      <c r="K12" s="3"/>
      <c r="L12" s="3"/>
      <c r="M12" s="3"/>
      <c r="N12" s="3"/>
      <c r="O12" s="3"/>
      <c r="P12" s="3"/>
      <c r="Q12" s="3"/>
      <c r="R12" s="3"/>
      <c r="S12" s="3"/>
      <c r="T12" s="3"/>
      <c r="U12" s="3"/>
      <c r="V12" s="3"/>
      <c r="W12" s="3"/>
      <c r="X12" s="3"/>
      <c r="Y12" s="4"/>
      <c r="Z12" s="4"/>
    </row>
    <row r="13" ht="74.25" customHeight="1">
      <c r="A13" s="23" t="s">
        <v>23</v>
      </c>
      <c r="B13" s="19" t="s">
        <v>24</v>
      </c>
      <c r="C13" s="3"/>
      <c r="D13" s="7"/>
      <c r="E13" s="8"/>
      <c r="F13" s="3"/>
      <c r="G13" s="3"/>
      <c r="H13" s="3"/>
      <c r="I13" s="3"/>
      <c r="J13" s="3"/>
      <c r="K13" s="3"/>
      <c r="L13" s="3"/>
      <c r="M13" s="3"/>
      <c r="N13" s="3"/>
      <c r="O13" s="3"/>
      <c r="P13" s="3"/>
      <c r="Q13" s="3"/>
      <c r="R13" s="3"/>
      <c r="S13" s="3"/>
      <c r="T13" s="3"/>
      <c r="U13" s="3"/>
      <c r="V13" s="3"/>
      <c r="W13" s="3"/>
      <c r="X13" s="3"/>
      <c r="Y13" s="4"/>
      <c r="Z13" s="4"/>
    </row>
    <row r="14" ht="248.25" customHeight="1">
      <c r="A14" s="9" t="s">
        <v>25</v>
      </c>
      <c r="B14" s="19" t="s">
        <v>26</v>
      </c>
      <c r="C14" s="3"/>
      <c r="D14" s="24" t="s">
        <v>27</v>
      </c>
      <c r="E14" s="25"/>
      <c r="F14" s="3"/>
      <c r="G14" s="3"/>
      <c r="H14" s="3"/>
      <c r="I14" s="3"/>
      <c r="J14" s="3"/>
      <c r="K14" s="3"/>
      <c r="L14" s="3"/>
      <c r="M14" s="3"/>
      <c r="N14" s="3"/>
      <c r="O14" s="3"/>
      <c r="P14" s="3"/>
      <c r="Q14" s="3"/>
      <c r="R14" s="3"/>
      <c r="S14" s="3"/>
      <c r="T14" s="3"/>
      <c r="U14" s="3"/>
      <c r="V14" s="3"/>
      <c r="W14" s="3"/>
      <c r="X14" s="3"/>
      <c r="Y14" s="4"/>
      <c r="Z14" s="4"/>
    </row>
    <row r="15" ht="96.0" customHeight="1">
      <c r="A15" s="9" t="s">
        <v>28</v>
      </c>
      <c r="B15" s="19" t="s">
        <v>29</v>
      </c>
      <c r="C15" s="3"/>
      <c r="D15" s="26"/>
      <c r="E15" s="27"/>
      <c r="F15" s="3"/>
      <c r="G15" s="3"/>
      <c r="H15" s="3"/>
      <c r="I15" s="3"/>
      <c r="J15" s="3"/>
      <c r="K15" s="3"/>
      <c r="L15" s="3"/>
      <c r="M15" s="3"/>
      <c r="N15" s="3"/>
      <c r="O15" s="3"/>
      <c r="P15" s="3"/>
      <c r="Q15" s="3"/>
      <c r="R15" s="3"/>
      <c r="S15" s="3"/>
      <c r="T15" s="3"/>
      <c r="U15" s="3"/>
      <c r="V15" s="3"/>
      <c r="W15" s="3"/>
      <c r="X15" s="3"/>
      <c r="Y15" s="4"/>
      <c r="Z15" s="4"/>
    </row>
    <row r="16">
      <c r="A16" s="18" t="s">
        <v>30</v>
      </c>
      <c r="B16" s="19" t="s">
        <v>31</v>
      </c>
      <c r="C16" s="3"/>
      <c r="D16" s="3"/>
      <c r="E16" s="3"/>
      <c r="F16" s="3"/>
      <c r="G16" s="3"/>
      <c r="H16" s="3"/>
      <c r="I16" s="3"/>
      <c r="J16" s="3"/>
      <c r="K16" s="3"/>
      <c r="L16" s="3"/>
      <c r="M16" s="3"/>
      <c r="N16" s="3"/>
      <c r="O16" s="3"/>
      <c r="P16" s="3"/>
      <c r="Q16" s="3"/>
      <c r="R16" s="3"/>
      <c r="S16" s="3"/>
      <c r="T16" s="3"/>
      <c r="U16" s="3"/>
      <c r="V16" s="3"/>
      <c r="W16" s="3"/>
      <c r="X16" s="3"/>
      <c r="Y16" s="4"/>
      <c r="Z16" s="4"/>
    </row>
    <row r="17">
      <c r="A17" s="4"/>
      <c r="B17" s="28"/>
      <c r="C17" s="3"/>
      <c r="D17" s="29" t="s">
        <v>32</v>
      </c>
      <c r="E17" s="30"/>
      <c r="F17" s="3"/>
      <c r="G17" s="3"/>
      <c r="H17" s="3"/>
      <c r="I17" s="3"/>
      <c r="J17" s="3"/>
      <c r="K17" s="3"/>
      <c r="L17" s="3"/>
      <c r="M17" s="3"/>
      <c r="N17" s="3"/>
      <c r="O17" s="3"/>
      <c r="P17" s="3"/>
      <c r="Q17" s="3"/>
      <c r="R17" s="3"/>
      <c r="S17" s="3"/>
      <c r="T17" s="3"/>
      <c r="U17" s="3"/>
      <c r="V17" s="3"/>
      <c r="W17" s="3"/>
      <c r="X17" s="3"/>
      <c r="Y17" s="4"/>
      <c r="Z17" s="4"/>
    </row>
    <row r="18">
      <c r="A18" s="29" t="s">
        <v>33</v>
      </c>
      <c r="B18" s="30"/>
      <c r="C18" s="3"/>
      <c r="D18" s="31" t="s">
        <v>34</v>
      </c>
      <c r="E18" s="32" t="s">
        <v>35</v>
      </c>
      <c r="F18" s="3"/>
      <c r="G18" s="3"/>
      <c r="H18" s="3"/>
      <c r="I18" s="3"/>
      <c r="J18" s="3"/>
      <c r="K18" s="3"/>
      <c r="L18" s="3"/>
      <c r="M18" s="3"/>
      <c r="N18" s="3"/>
      <c r="O18" s="3"/>
      <c r="P18" s="3"/>
      <c r="Q18" s="3"/>
      <c r="R18" s="3"/>
      <c r="S18" s="3"/>
      <c r="T18" s="3"/>
      <c r="U18" s="3"/>
      <c r="V18" s="3"/>
      <c r="W18" s="3"/>
      <c r="X18" s="3"/>
      <c r="Y18" s="4"/>
      <c r="Z18" s="4"/>
    </row>
    <row r="19">
      <c r="A19" s="33" t="s">
        <v>36</v>
      </c>
      <c r="B19" s="34" t="s">
        <v>37</v>
      </c>
      <c r="C19" s="3"/>
      <c r="D19" s="31" t="s">
        <v>38</v>
      </c>
      <c r="E19" s="32" t="s">
        <v>39</v>
      </c>
      <c r="F19" s="3"/>
      <c r="G19" s="3"/>
      <c r="H19" s="3"/>
      <c r="I19" s="3"/>
      <c r="J19" s="3"/>
      <c r="K19" s="3"/>
      <c r="L19" s="3"/>
      <c r="M19" s="3"/>
      <c r="N19" s="3"/>
      <c r="O19" s="3"/>
      <c r="P19" s="3"/>
      <c r="Q19" s="3"/>
      <c r="R19" s="3"/>
      <c r="S19" s="3"/>
      <c r="T19" s="3"/>
      <c r="U19" s="3"/>
      <c r="V19" s="3"/>
      <c r="W19" s="3"/>
      <c r="X19" s="3"/>
      <c r="Y19" s="4"/>
      <c r="Z19" s="4"/>
    </row>
    <row r="20">
      <c r="A20" s="31" t="s">
        <v>40</v>
      </c>
      <c r="B20" s="35"/>
      <c r="C20" s="3"/>
      <c r="D20" s="31" t="s">
        <v>41</v>
      </c>
      <c r="E20" s="32" t="s">
        <v>42</v>
      </c>
      <c r="F20" s="3"/>
      <c r="G20" s="3"/>
      <c r="H20" s="3"/>
      <c r="I20" s="3"/>
      <c r="J20" s="3"/>
      <c r="K20" s="3"/>
      <c r="L20" s="3"/>
      <c r="M20" s="3"/>
      <c r="N20" s="3"/>
      <c r="O20" s="3"/>
      <c r="P20" s="3"/>
      <c r="Q20" s="3"/>
      <c r="R20" s="3"/>
      <c r="S20" s="3"/>
      <c r="T20" s="3"/>
      <c r="U20" s="3"/>
      <c r="V20" s="3"/>
      <c r="W20" s="3"/>
      <c r="X20" s="3"/>
      <c r="Y20" s="4"/>
      <c r="Z20" s="4"/>
    </row>
    <row r="21">
      <c r="A21" s="31" t="s">
        <v>43</v>
      </c>
      <c r="B21" s="35"/>
      <c r="C21" s="3"/>
      <c r="D21" s="31" t="s">
        <v>44</v>
      </c>
      <c r="E21" s="32" t="s">
        <v>45</v>
      </c>
      <c r="F21" s="3"/>
      <c r="G21" s="3"/>
      <c r="H21" s="3"/>
      <c r="I21" s="3"/>
      <c r="J21" s="3"/>
      <c r="K21" s="3"/>
      <c r="L21" s="3"/>
      <c r="M21" s="3"/>
      <c r="N21" s="3"/>
      <c r="O21" s="3"/>
      <c r="P21" s="3"/>
      <c r="Q21" s="3"/>
      <c r="R21" s="3"/>
      <c r="S21" s="3"/>
      <c r="T21" s="3"/>
      <c r="U21" s="3"/>
      <c r="V21" s="3"/>
      <c r="W21" s="3"/>
      <c r="X21" s="3"/>
      <c r="Y21" s="4"/>
      <c r="Z21" s="4"/>
    </row>
    <row r="22">
      <c r="A22" s="31" t="s">
        <v>46</v>
      </c>
      <c r="B22" s="35"/>
      <c r="C22" s="3"/>
      <c r="D22" s="31" t="s">
        <v>47</v>
      </c>
      <c r="E22" s="32" t="s">
        <v>48</v>
      </c>
      <c r="F22" s="3"/>
      <c r="G22" s="3"/>
      <c r="H22" s="3"/>
      <c r="I22" s="3"/>
      <c r="J22" s="3"/>
      <c r="K22" s="3"/>
      <c r="L22" s="3"/>
      <c r="M22" s="3"/>
      <c r="N22" s="3"/>
      <c r="O22" s="3"/>
      <c r="P22" s="3"/>
      <c r="Q22" s="3"/>
      <c r="R22" s="3"/>
      <c r="S22" s="3"/>
      <c r="T22" s="3"/>
      <c r="U22" s="3"/>
      <c r="V22" s="3"/>
      <c r="W22" s="3"/>
      <c r="X22" s="3"/>
      <c r="Y22" s="4"/>
      <c r="Z22" s="4"/>
    </row>
    <row r="23">
      <c r="A23" s="31" t="s">
        <v>47</v>
      </c>
      <c r="B23" s="35"/>
      <c r="C23" s="3"/>
      <c r="D23" s="4"/>
      <c r="E23" s="36"/>
      <c r="F23" s="3"/>
      <c r="G23" s="3"/>
      <c r="H23" s="3"/>
      <c r="I23" s="3"/>
      <c r="J23" s="3"/>
      <c r="K23" s="3"/>
      <c r="L23" s="3"/>
      <c r="M23" s="3"/>
      <c r="N23" s="3"/>
      <c r="O23" s="3"/>
      <c r="P23" s="3"/>
      <c r="Q23" s="3"/>
      <c r="R23" s="3"/>
      <c r="S23" s="3"/>
      <c r="T23" s="3"/>
      <c r="U23" s="3"/>
      <c r="V23" s="3"/>
      <c r="W23" s="3"/>
      <c r="X23" s="3"/>
      <c r="Y23" s="4"/>
      <c r="Z23" s="4"/>
    </row>
    <row r="24">
      <c r="A24" s="31" t="s">
        <v>49</v>
      </c>
      <c r="B24" s="35"/>
      <c r="C24" s="3"/>
      <c r="D24" s="37" t="s">
        <v>50</v>
      </c>
      <c r="E24" s="38"/>
      <c r="F24" s="3"/>
      <c r="G24" s="3"/>
      <c r="H24" s="3"/>
      <c r="I24" s="3"/>
      <c r="J24" s="3"/>
      <c r="K24" s="3"/>
      <c r="L24" s="3"/>
      <c r="M24" s="3"/>
      <c r="N24" s="3"/>
      <c r="O24" s="3"/>
      <c r="P24" s="3"/>
      <c r="Q24" s="3"/>
      <c r="R24" s="3"/>
      <c r="S24" s="3"/>
      <c r="T24" s="3"/>
      <c r="U24" s="3"/>
      <c r="V24" s="3"/>
      <c r="W24" s="3"/>
      <c r="X24" s="3"/>
      <c r="Y24" s="4"/>
      <c r="Z24" s="4"/>
    </row>
    <row r="25">
      <c r="A25" s="39"/>
      <c r="B25" s="35"/>
      <c r="C25" s="3"/>
      <c r="D25" s="40" t="s">
        <v>51</v>
      </c>
      <c r="E25" s="41" t="s">
        <v>52</v>
      </c>
      <c r="F25" s="3"/>
      <c r="G25" s="3"/>
      <c r="H25" s="3"/>
      <c r="I25" s="3"/>
      <c r="J25" s="3"/>
      <c r="K25" s="3"/>
      <c r="L25" s="3"/>
      <c r="M25" s="3"/>
      <c r="N25" s="3"/>
      <c r="O25" s="3"/>
      <c r="P25" s="3"/>
      <c r="Q25" s="3"/>
      <c r="R25" s="3"/>
      <c r="S25" s="3"/>
      <c r="T25" s="3"/>
      <c r="U25" s="3"/>
      <c r="V25" s="3"/>
      <c r="W25" s="3"/>
      <c r="X25" s="3"/>
      <c r="Y25" s="4"/>
      <c r="Z25" s="4"/>
    </row>
    <row r="26">
      <c r="A26" s="33" t="s">
        <v>53</v>
      </c>
      <c r="B26" s="35"/>
      <c r="C26" s="3"/>
      <c r="D26" s="40" t="s">
        <v>54</v>
      </c>
      <c r="E26" s="41" t="s">
        <v>55</v>
      </c>
      <c r="F26" s="3"/>
      <c r="G26" s="3"/>
      <c r="H26" s="3"/>
      <c r="I26" s="3"/>
      <c r="J26" s="3"/>
      <c r="K26" s="3"/>
      <c r="L26" s="3"/>
      <c r="M26" s="3"/>
      <c r="N26" s="3"/>
      <c r="O26" s="3"/>
      <c r="P26" s="3"/>
      <c r="Q26" s="3"/>
      <c r="R26" s="3"/>
      <c r="S26" s="3"/>
      <c r="T26" s="3"/>
      <c r="U26" s="3"/>
      <c r="V26" s="3"/>
      <c r="W26" s="3"/>
      <c r="X26" s="3"/>
      <c r="Y26" s="4"/>
      <c r="Z26" s="4"/>
    </row>
    <row r="27">
      <c r="A27" s="31" t="s">
        <v>40</v>
      </c>
      <c r="B27" s="35"/>
      <c r="C27" s="3"/>
      <c r="D27" s="40" t="s">
        <v>56</v>
      </c>
      <c r="E27" s="42" t="s">
        <v>57</v>
      </c>
      <c r="F27" s="3"/>
      <c r="G27" s="3"/>
      <c r="H27" s="3"/>
      <c r="I27" s="3"/>
      <c r="J27" s="3"/>
      <c r="K27" s="3"/>
      <c r="L27" s="3"/>
      <c r="M27" s="3"/>
      <c r="N27" s="3"/>
      <c r="O27" s="3"/>
      <c r="P27" s="3"/>
      <c r="Q27" s="3"/>
      <c r="R27" s="3"/>
      <c r="S27" s="3"/>
      <c r="T27" s="3"/>
      <c r="U27" s="3"/>
      <c r="V27" s="3"/>
      <c r="W27" s="3"/>
      <c r="X27" s="3"/>
      <c r="Y27" s="4"/>
      <c r="Z27" s="4"/>
    </row>
    <row r="28">
      <c r="A28" s="31" t="s">
        <v>43</v>
      </c>
      <c r="B28" s="35"/>
      <c r="C28" s="3"/>
      <c r="D28" s="40" t="s">
        <v>58</v>
      </c>
      <c r="E28" s="43" t="s">
        <v>59</v>
      </c>
      <c r="F28" s="3"/>
      <c r="G28" s="3"/>
      <c r="H28" s="3"/>
      <c r="I28" s="3"/>
      <c r="J28" s="3"/>
      <c r="K28" s="3"/>
      <c r="L28" s="3"/>
      <c r="M28" s="3"/>
      <c r="N28" s="3"/>
      <c r="O28" s="3"/>
      <c r="P28" s="3"/>
      <c r="Q28" s="3"/>
      <c r="R28" s="3"/>
      <c r="S28" s="3"/>
      <c r="T28" s="3"/>
      <c r="U28" s="3"/>
      <c r="V28" s="3"/>
      <c r="W28" s="3"/>
      <c r="X28" s="3"/>
      <c r="Y28" s="4"/>
      <c r="Z28" s="4"/>
    </row>
    <row r="29">
      <c r="A29" s="31" t="s">
        <v>46</v>
      </c>
      <c r="B29" s="35"/>
      <c r="C29" s="3"/>
      <c r="D29" s="44" t="s">
        <v>60</v>
      </c>
      <c r="E29" s="45" t="s">
        <v>61</v>
      </c>
      <c r="F29" s="3"/>
      <c r="G29" s="3"/>
      <c r="H29" s="3"/>
      <c r="I29" s="3"/>
      <c r="J29" s="3"/>
      <c r="K29" s="3"/>
      <c r="L29" s="3"/>
      <c r="M29" s="3"/>
      <c r="N29" s="3"/>
      <c r="O29" s="3"/>
      <c r="P29" s="3"/>
      <c r="Q29" s="3"/>
      <c r="R29" s="3"/>
      <c r="S29" s="3"/>
      <c r="T29" s="3"/>
      <c r="U29" s="3"/>
      <c r="V29" s="3"/>
      <c r="W29" s="3"/>
      <c r="X29" s="3"/>
      <c r="Y29" s="4"/>
      <c r="Z29" s="4"/>
    </row>
    <row r="30">
      <c r="A30" s="31" t="s">
        <v>47</v>
      </c>
      <c r="B30" s="35"/>
      <c r="C30" s="3"/>
      <c r="D30" s="40" t="s">
        <v>62</v>
      </c>
      <c r="E30" s="46"/>
      <c r="F30" s="3"/>
      <c r="G30" s="3"/>
      <c r="H30" s="3"/>
      <c r="I30" s="3"/>
      <c r="J30" s="3"/>
      <c r="K30" s="3"/>
      <c r="L30" s="3"/>
      <c r="M30" s="3"/>
      <c r="N30" s="3"/>
      <c r="O30" s="3"/>
      <c r="P30" s="3"/>
      <c r="Q30" s="3"/>
      <c r="R30" s="3"/>
      <c r="S30" s="3"/>
      <c r="T30" s="3"/>
      <c r="U30" s="3"/>
      <c r="V30" s="3"/>
      <c r="W30" s="3"/>
      <c r="X30" s="3"/>
      <c r="Y30" s="4"/>
      <c r="Z30" s="4"/>
    </row>
    <row r="31">
      <c r="A31" s="31" t="s">
        <v>49</v>
      </c>
      <c r="B31" s="35"/>
      <c r="C31" s="3"/>
      <c r="D31" s="40" t="s">
        <v>63</v>
      </c>
      <c r="E31" s="46"/>
      <c r="F31" s="3"/>
      <c r="G31" s="3"/>
      <c r="H31" s="3"/>
      <c r="I31" s="3"/>
      <c r="J31" s="3"/>
      <c r="K31" s="3"/>
      <c r="L31" s="3"/>
      <c r="M31" s="3"/>
      <c r="N31" s="3"/>
      <c r="O31" s="3"/>
      <c r="P31" s="3"/>
      <c r="Q31" s="3"/>
      <c r="R31" s="3"/>
      <c r="S31" s="3"/>
      <c r="T31" s="3"/>
      <c r="U31" s="3"/>
      <c r="V31" s="3"/>
      <c r="W31" s="3"/>
      <c r="X31" s="3"/>
      <c r="Y31" s="4"/>
      <c r="Z31" s="4"/>
    </row>
    <row r="32">
      <c r="A32" s="47"/>
      <c r="B32" s="35"/>
      <c r="C32" s="3"/>
      <c r="D32" s="40" t="s">
        <v>64</v>
      </c>
      <c r="E32" s="46"/>
      <c r="F32" s="3"/>
      <c r="G32" s="3"/>
      <c r="H32" s="3"/>
      <c r="I32" s="3"/>
      <c r="J32" s="3"/>
      <c r="K32" s="3"/>
      <c r="L32" s="3"/>
      <c r="M32" s="3"/>
      <c r="N32" s="3"/>
      <c r="O32" s="3"/>
      <c r="P32" s="3"/>
      <c r="Q32" s="3"/>
      <c r="R32" s="3"/>
      <c r="S32" s="3"/>
      <c r="T32" s="3"/>
      <c r="U32" s="3"/>
      <c r="V32" s="3"/>
      <c r="W32" s="3"/>
      <c r="X32" s="3"/>
      <c r="Y32" s="4"/>
      <c r="Z32" s="4"/>
    </row>
    <row r="33">
      <c r="A33" s="31" t="s">
        <v>65</v>
      </c>
      <c r="B33" s="35"/>
      <c r="C33" s="3"/>
      <c r="D33" s="40" t="s">
        <v>66</v>
      </c>
      <c r="E33" s="46"/>
      <c r="F33" s="3"/>
      <c r="G33" s="3"/>
      <c r="H33" s="3"/>
      <c r="I33" s="3"/>
      <c r="J33" s="3"/>
      <c r="K33" s="3"/>
      <c r="L33" s="3"/>
      <c r="M33" s="3"/>
      <c r="N33" s="3"/>
      <c r="O33" s="3"/>
      <c r="P33" s="3"/>
      <c r="Q33" s="3"/>
      <c r="R33" s="3"/>
      <c r="S33" s="3"/>
      <c r="T33" s="3"/>
      <c r="U33" s="3"/>
      <c r="V33" s="3"/>
      <c r="W33" s="3"/>
      <c r="X33" s="3"/>
      <c r="Y33" s="4"/>
      <c r="Z33" s="4"/>
    </row>
    <row r="34">
      <c r="A34" s="31" t="s">
        <v>40</v>
      </c>
      <c r="B34" s="35"/>
      <c r="C34" s="3"/>
      <c r="D34" s="40" t="s">
        <v>67</v>
      </c>
      <c r="E34" s="46"/>
      <c r="F34" s="3"/>
      <c r="G34" s="3"/>
      <c r="H34" s="3"/>
      <c r="I34" s="3"/>
      <c r="J34" s="3"/>
      <c r="K34" s="3"/>
      <c r="L34" s="3"/>
      <c r="M34" s="3"/>
      <c r="N34" s="3"/>
      <c r="O34" s="3"/>
      <c r="P34" s="3"/>
      <c r="Q34" s="3"/>
      <c r="R34" s="3"/>
      <c r="S34" s="3"/>
      <c r="T34" s="3"/>
      <c r="U34" s="3"/>
      <c r="V34" s="3"/>
      <c r="W34" s="3"/>
      <c r="X34" s="3"/>
      <c r="Y34" s="4"/>
      <c r="Z34" s="4"/>
    </row>
    <row r="35">
      <c r="A35" s="31" t="s">
        <v>43</v>
      </c>
      <c r="B35" s="35"/>
      <c r="C35" s="3"/>
      <c r="D35" s="40" t="s">
        <v>68</v>
      </c>
      <c r="E35" s="46"/>
      <c r="F35" s="3"/>
      <c r="G35" s="3"/>
      <c r="H35" s="3"/>
      <c r="I35" s="3"/>
      <c r="J35" s="3"/>
      <c r="K35" s="3"/>
      <c r="L35" s="3"/>
      <c r="M35" s="3"/>
      <c r="N35" s="3"/>
      <c r="O35" s="3"/>
      <c r="P35" s="3"/>
      <c r="Q35" s="3"/>
      <c r="R35" s="3"/>
      <c r="S35" s="3"/>
      <c r="T35" s="3"/>
      <c r="U35" s="3"/>
      <c r="V35" s="3"/>
      <c r="W35" s="3"/>
      <c r="X35" s="3"/>
      <c r="Y35" s="4"/>
      <c r="Z35" s="4"/>
    </row>
    <row r="36">
      <c r="A36" s="31" t="s">
        <v>46</v>
      </c>
      <c r="B36" s="35"/>
      <c r="C36" s="3"/>
      <c r="D36" s="40" t="s">
        <v>69</v>
      </c>
      <c r="E36" s="46"/>
      <c r="F36" s="3"/>
      <c r="G36" s="3"/>
      <c r="H36" s="3"/>
      <c r="I36" s="3"/>
      <c r="J36" s="3"/>
      <c r="K36" s="3"/>
      <c r="L36" s="3"/>
      <c r="M36" s="3"/>
      <c r="N36" s="3"/>
      <c r="O36" s="3"/>
      <c r="P36" s="3"/>
      <c r="Q36" s="3"/>
      <c r="R36" s="3"/>
      <c r="S36" s="3"/>
      <c r="T36" s="3"/>
      <c r="U36" s="3"/>
      <c r="V36" s="3"/>
      <c r="W36" s="3"/>
      <c r="X36" s="3"/>
      <c r="Y36" s="4"/>
      <c r="Z36" s="4"/>
    </row>
    <row r="37">
      <c r="A37" s="31" t="s">
        <v>47</v>
      </c>
      <c r="B37" s="35"/>
      <c r="C37" s="3"/>
      <c r="D37" s="40" t="s">
        <v>63</v>
      </c>
      <c r="E37" s="46"/>
      <c r="F37" s="3"/>
      <c r="G37" s="3"/>
      <c r="H37" s="3"/>
      <c r="I37" s="3"/>
      <c r="J37" s="3"/>
      <c r="K37" s="3"/>
      <c r="L37" s="3"/>
      <c r="M37" s="3"/>
      <c r="N37" s="3"/>
      <c r="O37" s="3"/>
      <c r="P37" s="3"/>
      <c r="Q37" s="3"/>
      <c r="R37" s="3"/>
      <c r="S37" s="3"/>
      <c r="T37" s="3"/>
      <c r="U37" s="3"/>
      <c r="V37" s="3"/>
      <c r="W37" s="3"/>
      <c r="X37" s="3"/>
      <c r="Y37" s="4"/>
      <c r="Z37" s="4"/>
    </row>
    <row r="38">
      <c r="A38" s="31" t="s">
        <v>49</v>
      </c>
      <c r="B38" s="48"/>
      <c r="C38" s="3"/>
      <c r="D38" s="40" t="s">
        <v>64</v>
      </c>
      <c r="E38" s="46"/>
      <c r="F38" s="3"/>
      <c r="G38" s="3"/>
      <c r="H38" s="3"/>
      <c r="I38" s="3"/>
      <c r="J38" s="3"/>
      <c r="K38" s="3"/>
      <c r="L38" s="3"/>
      <c r="M38" s="3"/>
      <c r="N38" s="3"/>
      <c r="O38" s="3"/>
      <c r="P38" s="3"/>
      <c r="Q38" s="3"/>
      <c r="R38" s="3"/>
      <c r="S38" s="3"/>
      <c r="T38" s="3"/>
      <c r="U38" s="3"/>
      <c r="V38" s="3"/>
      <c r="W38" s="3"/>
      <c r="X38" s="3"/>
      <c r="Y38" s="4"/>
      <c r="Z38" s="4"/>
    </row>
    <row r="39">
      <c r="A39" s="49"/>
      <c r="B39" s="49"/>
      <c r="C39" s="3"/>
      <c r="D39" s="40" t="s">
        <v>66</v>
      </c>
      <c r="E39" s="46"/>
      <c r="F39" s="3"/>
      <c r="G39" s="3"/>
      <c r="H39" s="3"/>
      <c r="I39" s="3"/>
      <c r="J39" s="3"/>
      <c r="K39" s="3"/>
      <c r="L39" s="3"/>
      <c r="M39" s="3"/>
      <c r="N39" s="3"/>
      <c r="O39" s="3"/>
      <c r="P39" s="3"/>
      <c r="Q39" s="3"/>
      <c r="R39" s="3"/>
      <c r="S39" s="3"/>
      <c r="T39" s="3"/>
      <c r="U39" s="3"/>
      <c r="V39" s="3"/>
      <c r="W39" s="3"/>
      <c r="X39" s="3"/>
      <c r="Y39" s="4"/>
      <c r="Z39" s="4"/>
    </row>
    <row r="40">
      <c r="A40" s="50" t="s">
        <v>70</v>
      </c>
      <c r="B40" s="2"/>
      <c r="C40" s="3"/>
      <c r="D40" s="40" t="s">
        <v>67</v>
      </c>
      <c r="E40" s="46"/>
      <c r="F40" s="3"/>
      <c r="G40" s="3"/>
      <c r="H40" s="3"/>
      <c r="I40" s="3"/>
      <c r="J40" s="3"/>
      <c r="K40" s="3"/>
      <c r="L40" s="3"/>
      <c r="M40" s="3"/>
      <c r="N40" s="3"/>
      <c r="O40" s="3"/>
      <c r="P40" s="3"/>
      <c r="Q40" s="3"/>
      <c r="R40" s="3"/>
      <c r="S40" s="3"/>
      <c r="T40" s="3"/>
      <c r="U40" s="3"/>
      <c r="V40" s="3"/>
      <c r="W40" s="3"/>
      <c r="X40" s="3"/>
      <c r="Y40" s="4"/>
      <c r="Z40" s="4"/>
    </row>
    <row r="41">
      <c r="A41" s="31" t="s">
        <v>71</v>
      </c>
      <c r="B41" s="34" t="s">
        <v>72</v>
      </c>
      <c r="C41" s="3"/>
      <c r="D41" s="40" t="s">
        <v>68</v>
      </c>
      <c r="E41" s="51"/>
      <c r="F41" s="3"/>
      <c r="G41" s="3"/>
      <c r="H41" s="3"/>
      <c r="I41" s="3"/>
      <c r="J41" s="3"/>
      <c r="K41" s="3"/>
      <c r="L41" s="3"/>
      <c r="M41" s="3"/>
      <c r="N41" s="3"/>
      <c r="O41" s="3"/>
      <c r="P41" s="3"/>
      <c r="Q41" s="3"/>
      <c r="R41" s="3"/>
      <c r="S41" s="3"/>
      <c r="T41" s="3"/>
      <c r="U41" s="3"/>
      <c r="V41" s="3"/>
      <c r="W41" s="3"/>
      <c r="X41" s="3"/>
      <c r="Y41" s="4"/>
      <c r="Z41" s="4"/>
    </row>
    <row r="42">
      <c r="A42" s="31" t="s">
        <v>40</v>
      </c>
      <c r="B42" s="35"/>
      <c r="C42" s="3"/>
      <c r="D42" s="4"/>
      <c r="E42" s="4"/>
      <c r="F42" s="3"/>
      <c r="G42" s="3"/>
      <c r="H42" s="3"/>
      <c r="I42" s="3"/>
      <c r="J42" s="3"/>
      <c r="K42" s="3"/>
      <c r="L42" s="3"/>
      <c r="M42" s="3"/>
      <c r="N42" s="3"/>
      <c r="O42" s="3"/>
      <c r="P42" s="3"/>
      <c r="Q42" s="3"/>
      <c r="R42" s="3"/>
      <c r="S42" s="3"/>
      <c r="T42" s="3"/>
      <c r="U42" s="3"/>
      <c r="V42" s="3"/>
      <c r="W42" s="3"/>
      <c r="X42" s="3"/>
      <c r="Y42" s="4"/>
      <c r="Z42" s="4"/>
    </row>
    <row r="43">
      <c r="A43" s="31" t="s">
        <v>43</v>
      </c>
      <c r="B43" s="35"/>
      <c r="C43" s="3"/>
      <c r="D43" s="52" t="s">
        <v>73</v>
      </c>
      <c r="E43" s="53"/>
      <c r="F43" s="3"/>
      <c r="G43" s="3"/>
      <c r="H43" s="3"/>
      <c r="I43" s="3"/>
      <c r="J43" s="3"/>
      <c r="K43" s="3"/>
      <c r="L43" s="3"/>
      <c r="M43" s="3"/>
      <c r="N43" s="3"/>
      <c r="O43" s="3"/>
      <c r="P43" s="3"/>
      <c r="Q43" s="3"/>
      <c r="R43" s="3"/>
      <c r="S43" s="3"/>
      <c r="T43" s="3"/>
      <c r="U43" s="3"/>
      <c r="V43" s="3"/>
      <c r="W43" s="3"/>
      <c r="X43" s="3"/>
      <c r="Y43" s="4"/>
      <c r="Z43" s="4"/>
    </row>
    <row r="44">
      <c r="A44" s="31" t="s">
        <v>46</v>
      </c>
      <c r="B44" s="35"/>
      <c r="C44" s="3"/>
      <c r="D44" s="54" t="s">
        <v>74</v>
      </c>
      <c r="E44" s="55" t="s">
        <v>75</v>
      </c>
      <c r="F44" s="3"/>
      <c r="G44" s="3"/>
      <c r="H44" s="3"/>
      <c r="I44" s="3"/>
      <c r="J44" s="3"/>
      <c r="K44" s="3"/>
      <c r="L44" s="3"/>
      <c r="M44" s="3"/>
      <c r="N44" s="3"/>
      <c r="O44" s="3"/>
      <c r="P44" s="3"/>
      <c r="Q44" s="3"/>
      <c r="R44" s="3"/>
      <c r="S44" s="3"/>
      <c r="T44" s="3"/>
      <c r="U44" s="3"/>
      <c r="V44" s="3"/>
      <c r="W44" s="3"/>
      <c r="X44" s="3"/>
      <c r="Y44" s="4"/>
      <c r="Z44" s="4"/>
    </row>
    <row r="45">
      <c r="A45" s="31" t="s">
        <v>47</v>
      </c>
      <c r="B45" s="35"/>
      <c r="C45" s="3"/>
      <c r="D45" s="54" t="s">
        <v>76</v>
      </c>
      <c r="E45" s="56" t="s">
        <v>75</v>
      </c>
      <c r="F45" s="3"/>
      <c r="G45" s="3"/>
      <c r="H45" s="3"/>
      <c r="I45" s="3"/>
      <c r="J45" s="3"/>
      <c r="K45" s="3"/>
      <c r="L45" s="3"/>
      <c r="M45" s="3"/>
      <c r="N45" s="3"/>
      <c r="O45" s="3"/>
      <c r="P45" s="3"/>
      <c r="Q45" s="3"/>
      <c r="R45" s="3"/>
      <c r="S45" s="3"/>
      <c r="T45" s="3"/>
      <c r="U45" s="3"/>
      <c r="V45" s="3"/>
      <c r="W45" s="3"/>
      <c r="X45" s="3"/>
      <c r="Y45" s="4"/>
      <c r="Z45" s="4"/>
    </row>
    <row r="46">
      <c r="A46" s="31" t="s">
        <v>49</v>
      </c>
      <c r="B46" s="35"/>
      <c r="C46" s="3"/>
      <c r="D46" s="54" t="s">
        <v>77</v>
      </c>
      <c r="E46" s="56" t="s">
        <v>75</v>
      </c>
      <c r="F46" s="3"/>
      <c r="G46" s="3"/>
      <c r="H46" s="3"/>
      <c r="I46" s="3"/>
      <c r="J46" s="3"/>
      <c r="K46" s="3"/>
      <c r="L46" s="3"/>
      <c r="M46" s="3"/>
      <c r="N46" s="3"/>
      <c r="O46" s="3"/>
      <c r="P46" s="3"/>
      <c r="Q46" s="3"/>
      <c r="R46" s="3"/>
      <c r="S46" s="3"/>
      <c r="T46" s="3"/>
      <c r="U46" s="3"/>
      <c r="V46" s="3"/>
      <c r="W46" s="3"/>
      <c r="X46" s="3"/>
      <c r="Y46" s="4"/>
      <c r="Z46" s="4"/>
    </row>
    <row r="47">
      <c r="A47" s="9" t="s">
        <v>78</v>
      </c>
      <c r="B47" s="48"/>
      <c r="C47" s="3"/>
      <c r="D47" s="54" t="s">
        <v>79</v>
      </c>
      <c r="E47" s="56" t="s">
        <v>75</v>
      </c>
      <c r="F47" s="3"/>
      <c r="G47" s="3"/>
      <c r="H47" s="3"/>
      <c r="I47" s="3"/>
      <c r="J47" s="3"/>
      <c r="K47" s="3"/>
      <c r="L47" s="3"/>
      <c r="M47" s="3"/>
      <c r="N47" s="3"/>
      <c r="O47" s="3"/>
      <c r="P47" s="3"/>
      <c r="Q47" s="3"/>
      <c r="R47" s="3"/>
      <c r="S47" s="3"/>
      <c r="T47" s="3"/>
      <c r="U47" s="3"/>
      <c r="V47" s="3"/>
      <c r="W47" s="3"/>
      <c r="X47" s="3"/>
      <c r="Y47" s="4"/>
      <c r="Z47" s="4"/>
    </row>
    <row r="48">
      <c r="A48" s="4"/>
      <c r="B48" s="2"/>
      <c r="C48" s="3"/>
      <c r="D48" s="54" t="s">
        <v>80</v>
      </c>
      <c r="E48" s="56" t="s">
        <v>81</v>
      </c>
      <c r="F48" s="3"/>
      <c r="G48" s="3"/>
      <c r="H48" s="3"/>
      <c r="I48" s="3"/>
      <c r="J48" s="3"/>
      <c r="K48" s="3"/>
      <c r="L48" s="3"/>
      <c r="M48" s="3"/>
      <c r="N48" s="3"/>
      <c r="O48" s="3"/>
      <c r="P48" s="3"/>
      <c r="Q48" s="3"/>
      <c r="R48" s="3"/>
      <c r="S48" s="3"/>
      <c r="T48" s="3"/>
      <c r="U48" s="3"/>
      <c r="V48" s="3"/>
      <c r="W48" s="3"/>
      <c r="X48" s="3"/>
      <c r="Y48" s="4"/>
      <c r="Z48" s="4"/>
    </row>
    <row r="49">
      <c r="A49" s="4"/>
      <c r="B49" s="2"/>
      <c r="C49" s="4"/>
      <c r="D49" s="54" t="s">
        <v>82</v>
      </c>
      <c r="E49" s="55" t="s">
        <v>75</v>
      </c>
      <c r="F49" s="4"/>
      <c r="G49" s="4"/>
      <c r="H49" s="4"/>
      <c r="I49" s="4"/>
      <c r="J49" s="4"/>
      <c r="K49" s="4"/>
      <c r="L49" s="4"/>
      <c r="M49" s="4"/>
      <c r="N49" s="4"/>
      <c r="O49" s="4"/>
      <c r="P49" s="4"/>
      <c r="Q49" s="4"/>
      <c r="R49" s="4"/>
      <c r="S49" s="4"/>
      <c r="T49" s="4"/>
      <c r="U49" s="4"/>
      <c r="V49" s="4"/>
      <c r="W49" s="4"/>
      <c r="X49" s="4"/>
      <c r="Y49" s="4"/>
      <c r="Z49" s="4"/>
    </row>
    <row r="50">
      <c r="A50" s="4"/>
      <c r="B50" s="2"/>
      <c r="C50" s="4"/>
      <c r="D50" s="54" t="s">
        <v>83</v>
      </c>
      <c r="E50" s="56" t="s">
        <v>75</v>
      </c>
      <c r="F50" s="4"/>
      <c r="G50" s="4"/>
      <c r="H50" s="4"/>
      <c r="I50" s="4"/>
      <c r="J50" s="4"/>
      <c r="K50" s="4"/>
      <c r="L50" s="4"/>
      <c r="M50" s="4"/>
      <c r="N50" s="4"/>
      <c r="O50" s="4"/>
      <c r="P50" s="4"/>
      <c r="Q50" s="4"/>
      <c r="R50" s="4"/>
      <c r="S50" s="4"/>
      <c r="T50" s="4"/>
      <c r="U50" s="4"/>
      <c r="V50" s="4"/>
      <c r="W50" s="4"/>
      <c r="X50" s="4"/>
      <c r="Y50" s="4"/>
      <c r="Z50" s="4"/>
    </row>
    <row r="51">
      <c r="A51" s="4"/>
      <c r="B51" s="2"/>
      <c r="C51" s="4"/>
      <c r="D51" s="54" t="s">
        <v>84</v>
      </c>
      <c r="E51" s="56" t="s">
        <v>75</v>
      </c>
      <c r="F51" s="4"/>
      <c r="G51" s="4"/>
      <c r="H51" s="4"/>
      <c r="I51" s="4"/>
      <c r="J51" s="4"/>
      <c r="K51" s="4"/>
      <c r="L51" s="4"/>
      <c r="M51" s="4"/>
      <c r="N51" s="4"/>
      <c r="O51" s="4"/>
      <c r="P51" s="4"/>
      <c r="Q51" s="4"/>
      <c r="R51" s="4"/>
      <c r="S51" s="4"/>
      <c r="T51" s="4"/>
      <c r="U51" s="4"/>
      <c r="V51" s="4"/>
      <c r="W51" s="4"/>
      <c r="X51" s="4"/>
      <c r="Y51" s="4"/>
      <c r="Z51" s="4"/>
    </row>
    <row r="52">
      <c r="A52" s="4"/>
      <c r="B52" s="2"/>
      <c r="C52" s="4"/>
      <c r="D52" s="54" t="s">
        <v>85</v>
      </c>
      <c r="E52" s="55" t="s">
        <v>75</v>
      </c>
      <c r="F52" s="4"/>
      <c r="G52" s="4"/>
      <c r="H52" s="4"/>
      <c r="I52" s="4"/>
      <c r="J52" s="4"/>
      <c r="K52" s="4"/>
      <c r="L52" s="4"/>
      <c r="M52" s="4"/>
      <c r="N52" s="4"/>
      <c r="O52" s="4"/>
      <c r="P52" s="4"/>
      <c r="Q52" s="4"/>
      <c r="R52" s="4"/>
      <c r="S52" s="4"/>
      <c r="T52" s="4"/>
      <c r="U52" s="4"/>
      <c r="V52" s="4"/>
      <c r="W52" s="4"/>
      <c r="X52" s="4"/>
      <c r="Y52" s="4"/>
      <c r="Z52" s="4"/>
    </row>
    <row r="53">
      <c r="A53" s="4"/>
      <c r="B53" s="2"/>
      <c r="C53" s="4"/>
      <c r="D53" s="54" t="s">
        <v>86</v>
      </c>
      <c r="E53" s="55" t="s">
        <v>75</v>
      </c>
      <c r="F53" s="4"/>
      <c r="G53" s="4"/>
      <c r="H53" s="4"/>
      <c r="I53" s="4"/>
      <c r="J53" s="4"/>
      <c r="K53" s="4"/>
      <c r="L53" s="4"/>
      <c r="M53" s="4"/>
      <c r="N53" s="4"/>
      <c r="O53" s="4"/>
      <c r="P53" s="4"/>
      <c r="Q53" s="4"/>
      <c r="R53" s="4"/>
      <c r="S53" s="4"/>
      <c r="T53" s="4"/>
      <c r="U53" s="4"/>
      <c r="V53" s="4"/>
      <c r="W53" s="4"/>
      <c r="X53" s="4"/>
      <c r="Y53" s="4"/>
      <c r="Z53" s="4"/>
    </row>
    <row r="54">
      <c r="A54" s="4"/>
      <c r="B54" s="2"/>
      <c r="C54" s="4"/>
      <c r="D54" s="54" t="s">
        <v>87</v>
      </c>
      <c r="E54" s="55" t="s">
        <v>75</v>
      </c>
      <c r="F54" s="4"/>
      <c r="G54" s="4"/>
      <c r="H54" s="4"/>
      <c r="I54" s="4"/>
      <c r="J54" s="4"/>
      <c r="K54" s="4"/>
      <c r="L54" s="4"/>
      <c r="M54" s="4"/>
      <c r="N54" s="4"/>
      <c r="O54" s="4"/>
      <c r="P54" s="4"/>
      <c r="Q54" s="4"/>
      <c r="R54" s="4"/>
      <c r="S54" s="4"/>
      <c r="T54" s="4"/>
      <c r="U54" s="4"/>
      <c r="V54" s="4"/>
      <c r="W54" s="4"/>
      <c r="X54" s="4"/>
      <c r="Y54" s="4"/>
      <c r="Z54" s="4"/>
    </row>
    <row r="55">
      <c r="A55" s="4"/>
      <c r="B55" s="2"/>
      <c r="C55" s="4"/>
      <c r="D55" s="54" t="s">
        <v>88</v>
      </c>
      <c r="E55" s="55" t="s">
        <v>89</v>
      </c>
      <c r="F55" s="4"/>
      <c r="G55" s="4"/>
      <c r="H55" s="4"/>
      <c r="I55" s="4"/>
      <c r="J55" s="4"/>
      <c r="K55" s="4"/>
      <c r="L55" s="4"/>
      <c r="M55" s="4"/>
      <c r="N55" s="4"/>
      <c r="O55" s="4"/>
      <c r="P55" s="4"/>
      <c r="Q55" s="4"/>
      <c r="R55" s="4"/>
      <c r="S55" s="4"/>
      <c r="T55" s="4"/>
      <c r="U55" s="4"/>
      <c r="V55" s="4"/>
      <c r="W55" s="4"/>
      <c r="X55" s="4"/>
      <c r="Y55" s="4"/>
      <c r="Z55" s="4"/>
    </row>
    <row r="56">
      <c r="A56" s="4"/>
      <c r="B56" s="2"/>
      <c r="C56" s="4"/>
      <c r="F56" s="4"/>
      <c r="G56" s="4"/>
      <c r="H56" s="4"/>
      <c r="I56" s="4"/>
      <c r="J56" s="4"/>
      <c r="K56" s="4"/>
      <c r="L56" s="4"/>
      <c r="M56" s="4"/>
      <c r="N56" s="4"/>
      <c r="O56" s="4"/>
      <c r="P56" s="4"/>
      <c r="Q56" s="4"/>
      <c r="R56" s="4"/>
      <c r="S56" s="4"/>
      <c r="T56" s="4"/>
      <c r="U56" s="4"/>
      <c r="V56" s="4"/>
      <c r="W56" s="4"/>
      <c r="X56" s="4"/>
      <c r="Y56" s="4"/>
      <c r="Z56" s="4"/>
    </row>
    <row r="57">
      <c r="A57" s="4"/>
      <c r="B57" s="2"/>
      <c r="C57" s="4"/>
      <c r="F57" s="4"/>
      <c r="G57" s="4"/>
      <c r="H57" s="4"/>
      <c r="I57" s="4"/>
      <c r="J57" s="4"/>
      <c r="K57" s="4"/>
      <c r="L57" s="4"/>
      <c r="M57" s="4"/>
      <c r="N57" s="4"/>
      <c r="O57" s="4"/>
      <c r="P57" s="4"/>
      <c r="Q57" s="4"/>
      <c r="R57" s="4"/>
      <c r="S57" s="4"/>
      <c r="T57" s="4"/>
      <c r="U57" s="4"/>
      <c r="V57" s="4"/>
      <c r="W57" s="4"/>
      <c r="X57" s="4"/>
      <c r="Y57" s="4"/>
      <c r="Z57" s="4"/>
    </row>
    <row r="58">
      <c r="A58" s="4"/>
      <c r="B58" s="2"/>
      <c r="C58" s="4"/>
      <c r="F58" s="4"/>
      <c r="G58" s="4"/>
      <c r="H58" s="4"/>
      <c r="I58" s="4"/>
      <c r="J58" s="4"/>
      <c r="K58" s="4"/>
      <c r="L58" s="4"/>
      <c r="M58" s="4"/>
      <c r="N58" s="4"/>
      <c r="O58" s="4"/>
      <c r="P58" s="4"/>
      <c r="Q58" s="4"/>
      <c r="R58" s="4"/>
      <c r="S58" s="4"/>
      <c r="T58" s="4"/>
      <c r="U58" s="4"/>
      <c r="V58" s="4"/>
      <c r="W58" s="4"/>
      <c r="X58" s="4"/>
      <c r="Y58" s="4"/>
      <c r="Z58" s="4"/>
    </row>
    <row r="59">
      <c r="A59" s="4"/>
      <c r="B59" s="2"/>
      <c r="C59" s="4"/>
      <c r="D59" s="4"/>
      <c r="E59" s="4"/>
      <c r="F59" s="4"/>
      <c r="G59" s="4"/>
      <c r="H59" s="4"/>
      <c r="I59" s="4"/>
      <c r="J59" s="4"/>
      <c r="K59" s="4"/>
      <c r="L59" s="4"/>
      <c r="M59" s="4"/>
      <c r="N59" s="4"/>
      <c r="O59" s="4"/>
      <c r="P59" s="4"/>
      <c r="Q59" s="4"/>
      <c r="R59" s="4"/>
      <c r="S59" s="4"/>
      <c r="T59" s="4"/>
      <c r="U59" s="4"/>
      <c r="V59" s="4"/>
      <c r="W59" s="4"/>
      <c r="X59" s="4"/>
      <c r="Y59" s="4"/>
      <c r="Z59" s="4"/>
    </row>
    <row r="60">
      <c r="A60" s="4"/>
      <c r="B60" s="2"/>
      <c r="C60" s="4"/>
      <c r="D60" s="4"/>
      <c r="E60" s="4"/>
      <c r="F60" s="4"/>
      <c r="G60" s="4"/>
      <c r="H60" s="4"/>
      <c r="I60" s="4"/>
      <c r="J60" s="4"/>
      <c r="K60" s="4"/>
      <c r="L60" s="4"/>
      <c r="M60" s="4"/>
      <c r="N60" s="4"/>
      <c r="O60" s="4"/>
      <c r="P60" s="4"/>
      <c r="Q60" s="4"/>
      <c r="R60" s="4"/>
      <c r="S60" s="4"/>
      <c r="T60" s="4"/>
      <c r="U60" s="4"/>
      <c r="V60" s="4"/>
      <c r="W60" s="4"/>
      <c r="X60" s="4"/>
      <c r="Y60" s="4"/>
      <c r="Z60" s="4"/>
    </row>
    <row r="61">
      <c r="A61" s="4"/>
      <c r="B61" s="2"/>
      <c r="C61" s="4"/>
      <c r="D61" s="4"/>
      <c r="E61" s="4"/>
      <c r="F61" s="4"/>
      <c r="G61" s="4"/>
      <c r="H61" s="4"/>
      <c r="I61" s="4"/>
      <c r="J61" s="4"/>
      <c r="K61" s="4"/>
      <c r="L61" s="4"/>
      <c r="M61" s="4"/>
      <c r="N61" s="4"/>
      <c r="O61" s="4"/>
      <c r="P61" s="4"/>
      <c r="Q61" s="4"/>
      <c r="R61" s="4"/>
      <c r="S61" s="4"/>
      <c r="T61" s="4"/>
      <c r="U61" s="4"/>
      <c r="V61" s="4"/>
      <c r="W61" s="4"/>
      <c r="X61" s="4"/>
      <c r="Y61" s="4"/>
      <c r="Z61" s="4"/>
    </row>
    <row r="62">
      <c r="A62" s="4"/>
      <c r="B62" s="2"/>
      <c r="C62" s="4"/>
      <c r="D62" s="4"/>
      <c r="E62" s="4"/>
      <c r="F62" s="4"/>
      <c r="G62" s="4"/>
      <c r="H62" s="4"/>
      <c r="I62" s="4"/>
      <c r="J62" s="4"/>
      <c r="K62" s="4"/>
      <c r="L62" s="4"/>
      <c r="M62" s="4"/>
      <c r="N62" s="4"/>
      <c r="O62" s="4"/>
      <c r="P62" s="4"/>
      <c r="Q62" s="4"/>
      <c r="R62" s="4"/>
      <c r="S62" s="4"/>
      <c r="T62" s="4"/>
      <c r="U62" s="4"/>
      <c r="V62" s="4"/>
      <c r="W62" s="4"/>
      <c r="X62" s="4"/>
      <c r="Y62" s="4"/>
      <c r="Z62" s="4"/>
    </row>
    <row r="63">
      <c r="A63" s="4"/>
      <c r="B63" s="2"/>
      <c r="C63" s="4"/>
      <c r="D63" s="4"/>
      <c r="E63" s="4"/>
      <c r="F63" s="4"/>
      <c r="G63" s="4"/>
      <c r="H63" s="4"/>
      <c r="I63" s="4"/>
      <c r="J63" s="4"/>
      <c r="K63" s="4"/>
      <c r="L63" s="4"/>
      <c r="M63" s="4"/>
      <c r="N63" s="4"/>
      <c r="O63" s="4"/>
      <c r="P63" s="4"/>
      <c r="Q63" s="4"/>
      <c r="R63" s="4"/>
      <c r="S63" s="4"/>
      <c r="T63" s="4"/>
      <c r="U63" s="4"/>
      <c r="V63" s="4"/>
      <c r="W63" s="4"/>
      <c r="X63" s="4"/>
      <c r="Y63" s="4"/>
      <c r="Z63" s="4"/>
    </row>
    <row r="64">
      <c r="A64" s="4"/>
      <c r="B64" s="2"/>
      <c r="C64" s="4"/>
      <c r="D64" s="4"/>
      <c r="E64" s="4"/>
      <c r="F64" s="4"/>
      <c r="G64" s="4"/>
      <c r="H64" s="4"/>
      <c r="I64" s="4"/>
      <c r="J64" s="4"/>
      <c r="K64" s="4"/>
      <c r="L64" s="4"/>
      <c r="M64" s="4"/>
      <c r="N64" s="4"/>
      <c r="O64" s="4"/>
      <c r="P64" s="4"/>
      <c r="Q64" s="4"/>
      <c r="R64" s="4"/>
      <c r="S64" s="4"/>
      <c r="T64" s="4"/>
      <c r="U64" s="4"/>
      <c r="V64" s="4"/>
      <c r="W64" s="4"/>
      <c r="X64" s="4"/>
      <c r="Y64" s="4"/>
      <c r="Z64" s="4"/>
    </row>
    <row r="65">
      <c r="A65" s="4"/>
      <c r="B65" s="2"/>
      <c r="C65" s="4"/>
      <c r="D65" s="4"/>
      <c r="E65" s="4"/>
      <c r="F65" s="4"/>
      <c r="G65" s="4"/>
      <c r="H65" s="4"/>
      <c r="I65" s="4"/>
      <c r="J65" s="4"/>
      <c r="K65" s="4"/>
      <c r="L65" s="4"/>
      <c r="M65" s="4"/>
      <c r="N65" s="4"/>
      <c r="O65" s="4"/>
      <c r="P65" s="4"/>
      <c r="Q65" s="4"/>
      <c r="R65" s="4"/>
      <c r="S65" s="4"/>
      <c r="T65" s="4"/>
      <c r="U65" s="4"/>
      <c r="V65" s="4"/>
      <c r="W65" s="4"/>
      <c r="X65" s="4"/>
      <c r="Y65" s="4"/>
      <c r="Z65" s="4"/>
    </row>
    <row r="66">
      <c r="A66" s="4"/>
      <c r="B66" s="2"/>
      <c r="C66" s="4"/>
      <c r="D66" s="4"/>
      <c r="E66" s="4"/>
      <c r="F66" s="4"/>
      <c r="G66" s="4"/>
      <c r="H66" s="4"/>
      <c r="I66" s="4"/>
      <c r="J66" s="4"/>
      <c r="K66" s="4"/>
      <c r="L66" s="4"/>
      <c r="M66" s="4"/>
      <c r="N66" s="4"/>
      <c r="O66" s="4"/>
      <c r="P66" s="4"/>
      <c r="Q66" s="4"/>
      <c r="R66" s="4"/>
      <c r="S66" s="4"/>
      <c r="T66" s="4"/>
      <c r="U66" s="4"/>
      <c r="V66" s="4"/>
      <c r="W66" s="4"/>
      <c r="X66" s="4"/>
      <c r="Y66" s="4"/>
      <c r="Z66" s="4"/>
    </row>
    <row r="67">
      <c r="A67" s="4"/>
      <c r="B67" s="2"/>
      <c r="C67" s="4"/>
      <c r="D67" s="4"/>
      <c r="E67" s="4"/>
      <c r="F67" s="4"/>
      <c r="G67" s="4"/>
      <c r="H67" s="4"/>
      <c r="I67" s="4"/>
      <c r="J67" s="4"/>
      <c r="K67" s="4"/>
      <c r="L67" s="4"/>
      <c r="M67" s="4"/>
      <c r="N67" s="4"/>
      <c r="O67" s="4"/>
      <c r="P67" s="4"/>
      <c r="Q67" s="4"/>
      <c r="R67" s="4"/>
      <c r="S67" s="4"/>
      <c r="T67" s="4"/>
      <c r="U67" s="4"/>
      <c r="V67" s="4"/>
      <c r="W67" s="4"/>
      <c r="X67" s="4"/>
      <c r="Y67" s="4"/>
      <c r="Z67" s="4"/>
    </row>
    <row r="68">
      <c r="A68" s="4"/>
      <c r="B68" s="2"/>
      <c r="C68" s="4"/>
      <c r="D68" s="4"/>
      <c r="E68" s="4"/>
      <c r="F68" s="4"/>
      <c r="G68" s="4"/>
      <c r="H68" s="4"/>
      <c r="I68" s="4"/>
      <c r="J68" s="4"/>
      <c r="K68" s="4"/>
      <c r="L68" s="4"/>
      <c r="M68" s="4"/>
      <c r="N68" s="4"/>
      <c r="O68" s="4"/>
      <c r="P68" s="4"/>
      <c r="Q68" s="4"/>
      <c r="R68" s="4"/>
      <c r="S68" s="4"/>
      <c r="T68" s="4"/>
      <c r="U68" s="4"/>
      <c r="V68" s="4"/>
      <c r="W68" s="4"/>
      <c r="X68" s="4"/>
      <c r="Y68" s="4"/>
      <c r="Z68" s="4"/>
    </row>
    <row r="69">
      <c r="A69" s="4"/>
      <c r="B69" s="2"/>
      <c r="C69" s="4"/>
      <c r="D69" s="4"/>
      <c r="E69" s="4"/>
      <c r="F69" s="4"/>
      <c r="G69" s="4"/>
      <c r="H69" s="4"/>
      <c r="I69" s="4"/>
      <c r="J69" s="4"/>
      <c r="K69" s="4"/>
      <c r="L69" s="4"/>
      <c r="M69" s="4"/>
      <c r="N69" s="4"/>
      <c r="O69" s="4"/>
      <c r="P69" s="4"/>
      <c r="Q69" s="4"/>
      <c r="R69" s="4"/>
      <c r="S69" s="4"/>
      <c r="T69" s="4"/>
      <c r="U69" s="4"/>
      <c r="V69" s="4"/>
      <c r="W69" s="4"/>
      <c r="X69" s="4"/>
      <c r="Y69" s="4"/>
      <c r="Z69" s="4"/>
    </row>
    <row r="70">
      <c r="A70" s="4"/>
      <c r="B70" s="2"/>
      <c r="C70" s="4"/>
      <c r="D70" s="4"/>
      <c r="E70" s="4"/>
      <c r="F70" s="4"/>
      <c r="G70" s="4"/>
      <c r="H70" s="4"/>
      <c r="I70" s="4"/>
      <c r="J70" s="4"/>
      <c r="K70" s="4"/>
      <c r="L70" s="4"/>
      <c r="M70" s="4"/>
      <c r="N70" s="4"/>
      <c r="O70" s="4"/>
      <c r="P70" s="4"/>
      <c r="Q70" s="4"/>
      <c r="R70" s="4"/>
      <c r="S70" s="4"/>
      <c r="T70" s="4"/>
      <c r="U70" s="4"/>
      <c r="V70" s="4"/>
      <c r="W70" s="4"/>
      <c r="X70" s="4"/>
      <c r="Y70" s="4"/>
      <c r="Z70" s="4"/>
    </row>
    <row r="71">
      <c r="A71" s="4"/>
      <c r="B71" s="2"/>
      <c r="C71" s="4"/>
      <c r="D71" s="4"/>
      <c r="E71" s="4"/>
      <c r="F71" s="4"/>
      <c r="G71" s="4"/>
      <c r="H71" s="4"/>
      <c r="I71" s="4"/>
      <c r="J71" s="4"/>
      <c r="K71" s="4"/>
      <c r="L71" s="4"/>
      <c r="M71" s="4"/>
      <c r="N71" s="4"/>
      <c r="O71" s="4"/>
      <c r="P71" s="4"/>
      <c r="Q71" s="4"/>
      <c r="R71" s="4"/>
      <c r="S71" s="4"/>
      <c r="T71" s="4"/>
      <c r="U71" s="4"/>
      <c r="V71" s="4"/>
      <c r="W71" s="4"/>
      <c r="X71" s="4"/>
      <c r="Y71" s="4"/>
      <c r="Z71" s="4"/>
    </row>
    <row r="72">
      <c r="A72" s="4"/>
      <c r="B72" s="2"/>
      <c r="C72" s="4"/>
      <c r="D72" s="4"/>
      <c r="E72" s="4"/>
      <c r="F72" s="4"/>
      <c r="G72" s="4"/>
      <c r="H72" s="4"/>
      <c r="I72" s="4"/>
      <c r="J72" s="4"/>
      <c r="K72" s="4"/>
      <c r="L72" s="4"/>
      <c r="M72" s="4"/>
      <c r="N72" s="4"/>
      <c r="O72" s="4"/>
      <c r="P72" s="4"/>
      <c r="Q72" s="4"/>
      <c r="R72" s="4"/>
      <c r="S72" s="4"/>
      <c r="T72" s="4"/>
      <c r="U72" s="4"/>
      <c r="V72" s="4"/>
      <c r="W72" s="4"/>
      <c r="X72" s="4"/>
      <c r="Y72" s="4"/>
      <c r="Z72" s="4"/>
    </row>
    <row r="73">
      <c r="A73" s="4"/>
      <c r="B73" s="2"/>
      <c r="C73" s="4"/>
      <c r="D73" s="4"/>
      <c r="E73" s="4"/>
      <c r="F73" s="4"/>
      <c r="G73" s="4"/>
      <c r="H73" s="4"/>
      <c r="I73" s="4"/>
      <c r="J73" s="4"/>
      <c r="K73" s="4"/>
      <c r="L73" s="4"/>
      <c r="M73" s="4"/>
      <c r="N73" s="4"/>
      <c r="O73" s="4"/>
      <c r="P73" s="4"/>
      <c r="Q73" s="4"/>
      <c r="R73" s="4"/>
      <c r="S73" s="4"/>
      <c r="T73" s="4"/>
      <c r="U73" s="4"/>
      <c r="V73" s="4"/>
      <c r="W73" s="4"/>
      <c r="X73" s="4"/>
      <c r="Y73" s="4"/>
      <c r="Z73" s="4"/>
    </row>
    <row r="74">
      <c r="A74" s="4"/>
      <c r="B74" s="2"/>
      <c r="C74" s="4"/>
      <c r="D74" s="4"/>
      <c r="E74" s="4"/>
      <c r="F74" s="4"/>
      <c r="G74" s="4"/>
      <c r="H74" s="4"/>
      <c r="I74" s="4"/>
      <c r="J74" s="4"/>
      <c r="K74" s="4"/>
      <c r="L74" s="4"/>
      <c r="M74" s="4"/>
      <c r="N74" s="4"/>
      <c r="O74" s="4"/>
      <c r="P74" s="4"/>
      <c r="Q74" s="4"/>
      <c r="R74" s="4"/>
      <c r="S74" s="4"/>
      <c r="T74" s="4"/>
      <c r="U74" s="4"/>
      <c r="V74" s="4"/>
      <c r="W74" s="4"/>
      <c r="X74" s="4"/>
      <c r="Y74" s="4"/>
      <c r="Z74" s="4"/>
    </row>
    <row r="75">
      <c r="A75" s="4"/>
      <c r="B75" s="2"/>
      <c r="C75" s="4"/>
      <c r="D75" s="4"/>
      <c r="E75" s="4"/>
      <c r="F75" s="4"/>
      <c r="G75" s="4"/>
      <c r="H75" s="4"/>
      <c r="I75" s="4"/>
      <c r="J75" s="4"/>
      <c r="K75" s="4"/>
      <c r="L75" s="4"/>
      <c r="M75" s="4"/>
      <c r="N75" s="4"/>
      <c r="O75" s="4"/>
      <c r="P75" s="4"/>
      <c r="Q75" s="4"/>
      <c r="R75" s="4"/>
      <c r="S75" s="4"/>
      <c r="T75" s="4"/>
      <c r="U75" s="4"/>
      <c r="V75" s="4"/>
      <c r="W75" s="4"/>
      <c r="X75" s="4"/>
      <c r="Y75" s="4"/>
      <c r="Z75" s="4"/>
    </row>
    <row r="76">
      <c r="A76" s="4"/>
      <c r="B76" s="2"/>
      <c r="C76" s="4"/>
      <c r="D76" s="4"/>
      <c r="E76" s="4"/>
      <c r="F76" s="4"/>
      <c r="G76" s="4"/>
      <c r="H76" s="4"/>
      <c r="I76" s="4"/>
      <c r="J76" s="4"/>
      <c r="K76" s="4"/>
      <c r="L76" s="4"/>
      <c r="M76" s="4"/>
      <c r="N76" s="4"/>
      <c r="O76" s="4"/>
      <c r="P76" s="4"/>
      <c r="Q76" s="4"/>
      <c r="R76" s="4"/>
      <c r="S76" s="4"/>
      <c r="T76" s="4"/>
      <c r="U76" s="4"/>
      <c r="V76" s="4"/>
      <c r="W76" s="4"/>
      <c r="X76" s="4"/>
      <c r="Y76" s="4"/>
      <c r="Z76" s="4"/>
    </row>
    <row r="77">
      <c r="A77" s="4"/>
      <c r="B77" s="2"/>
      <c r="C77" s="4"/>
      <c r="D77" s="4"/>
      <c r="E77" s="4"/>
      <c r="F77" s="4"/>
      <c r="G77" s="4"/>
      <c r="H77" s="4"/>
      <c r="I77" s="4"/>
      <c r="J77" s="4"/>
      <c r="K77" s="4"/>
      <c r="L77" s="4"/>
      <c r="M77" s="4"/>
      <c r="N77" s="4"/>
      <c r="O77" s="4"/>
      <c r="P77" s="4"/>
      <c r="Q77" s="4"/>
      <c r="R77" s="4"/>
      <c r="S77" s="4"/>
      <c r="T77" s="4"/>
      <c r="U77" s="4"/>
      <c r="V77" s="4"/>
      <c r="W77" s="4"/>
      <c r="X77" s="4"/>
      <c r="Y77" s="4"/>
      <c r="Z77" s="4"/>
    </row>
    <row r="78">
      <c r="A78" s="4"/>
      <c r="B78" s="2"/>
      <c r="C78" s="4"/>
      <c r="D78" s="4"/>
      <c r="E78" s="4"/>
      <c r="F78" s="4"/>
      <c r="G78" s="4"/>
      <c r="H78" s="4"/>
      <c r="I78" s="4"/>
      <c r="J78" s="4"/>
      <c r="K78" s="4"/>
      <c r="L78" s="4"/>
      <c r="M78" s="4"/>
      <c r="N78" s="4"/>
      <c r="O78" s="4"/>
      <c r="P78" s="4"/>
      <c r="Q78" s="4"/>
      <c r="R78" s="4"/>
      <c r="S78" s="4"/>
      <c r="T78" s="4"/>
      <c r="U78" s="4"/>
      <c r="V78" s="4"/>
      <c r="W78" s="4"/>
      <c r="X78" s="4"/>
      <c r="Y78" s="4"/>
      <c r="Z78" s="4"/>
    </row>
    <row r="79">
      <c r="A79" s="4"/>
      <c r="B79" s="2"/>
      <c r="C79" s="4"/>
      <c r="D79" s="4"/>
      <c r="E79" s="4"/>
      <c r="F79" s="4"/>
      <c r="G79" s="4"/>
      <c r="H79" s="4"/>
      <c r="I79" s="4"/>
      <c r="J79" s="4"/>
      <c r="K79" s="4"/>
      <c r="L79" s="4"/>
      <c r="M79" s="4"/>
      <c r="N79" s="4"/>
      <c r="O79" s="4"/>
      <c r="P79" s="4"/>
      <c r="Q79" s="4"/>
      <c r="R79" s="4"/>
      <c r="S79" s="4"/>
      <c r="T79" s="4"/>
      <c r="U79" s="4"/>
      <c r="V79" s="4"/>
      <c r="W79" s="4"/>
      <c r="X79" s="4"/>
      <c r="Y79" s="4"/>
      <c r="Z79" s="4"/>
    </row>
    <row r="80">
      <c r="A80" s="4"/>
      <c r="B80" s="2"/>
      <c r="C80" s="4"/>
      <c r="D80" s="4"/>
      <c r="E80" s="4"/>
      <c r="F80" s="4"/>
      <c r="G80" s="4"/>
      <c r="H80" s="4"/>
      <c r="I80" s="4"/>
      <c r="J80" s="4"/>
      <c r="K80" s="4"/>
      <c r="L80" s="4"/>
      <c r="M80" s="4"/>
      <c r="N80" s="4"/>
      <c r="O80" s="4"/>
      <c r="P80" s="4"/>
      <c r="Q80" s="4"/>
      <c r="R80" s="4"/>
      <c r="S80" s="4"/>
      <c r="T80" s="4"/>
      <c r="U80" s="4"/>
      <c r="V80" s="4"/>
      <c r="W80" s="4"/>
      <c r="X80" s="4"/>
      <c r="Y80" s="4"/>
      <c r="Z80" s="4"/>
    </row>
    <row r="81">
      <c r="A81" s="4"/>
      <c r="B81" s="2"/>
      <c r="C81" s="4"/>
      <c r="D81" s="4"/>
      <c r="E81" s="4"/>
      <c r="F81" s="4"/>
      <c r="G81" s="4"/>
      <c r="H81" s="4"/>
      <c r="I81" s="4"/>
      <c r="J81" s="4"/>
      <c r="K81" s="4"/>
      <c r="L81" s="4"/>
      <c r="M81" s="4"/>
      <c r="N81" s="4"/>
      <c r="O81" s="4"/>
      <c r="P81" s="4"/>
      <c r="Q81" s="4"/>
      <c r="R81" s="4"/>
      <c r="S81" s="4"/>
      <c r="T81" s="4"/>
      <c r="U81" s="4"/>
      <c r="V81" s="4"/>
      <c r="W81" s="4"/>
      <c r="X81" s="4"/>
      <c r="Y81" s="4"/>
      <c r="Z81" s="4"/>
    </row>
    <row r="82">
      <c r="A82" s="4"/>
      <c r="B82" s="2"/>
      <c r="C82" s="4"/>
      <c r="D82" s="4"/>
      <c r="E82" s="4"/>
      <c r="F82" s="4"/>
      <c r="G82" s="4"/>
      <c r="H82" s="4"/>
      <c r="I82" s="4"/>
      <c r="J82" s="4"/>
      <c r="K82" s="4"/>
      <c r="L82" s="4"/>
      <c r="M82" s="4"/>
      <c r="N82" s="4"/>
      <c r="O82" s="4"/>
      <c r="P82" s="4"/>
      <c r="Q82" s="4"/>
      <c r="R82" s="4"/>
      <c r="S82" s="4"/>
      <c r="T82" s="4"/>
      <c r="U82" s="4"/>
      <c r="V82" s="4"/>
      <c r="W82" s="4"/>
      <c r="X82" s="4"/>
      <c r="Y82" s="4"/>
      <c r="Z82" s="4"/>
    </row>
    <row r="83">
      <c r="A83" s="4"/>
      <c r="B83" s="2"/>
      <c r="C83" s="4"/>
      <c r="D83" s="4"/>
      <c r="E83" s="4"/>
      <c r="F83" s="4"/>
      <c r="G83" s="4"/>
      <c r="H83" s="4"/>
      <c r="I83" s="4"/>
      <c r="J83" s="4"/>
      <c r="K83" s="4"/>
      <c r="L83" s="4"/>
      <c r="M83" s="4"/>
      <c r="N83" s="4"/>
      <c r="O83" s="4"/>
      <c r="P83" s="4"/>
      <c r="Q83" s="4"/>
      <c r="R83" s="4"/>
      <c r="S83" s="4"/>
      <c r="T83" s="4"/>
      <c r="U83" s="4"/>
      <c r="V83" s="4"/>
      <c r="W83" s="4"/>
      <c r="X83" s="4"/>
      <c r="Y83" s="4"/>
      <c r="Z83" s="4"/>
    </row>
    <row r="84">
      <c r="A84" s="4"/>
      <c r="B84" s="2"/>
      <c r="C84" s="4"/>
      <c r="D84" s="4"/>
      <c r="E84" s="4"/>
      <c r="F84" s="4"/>
      <c r="G84" s="4"/>
      <c r="H84" s="4"/>
      <c r="I84" s="4"/>
      <c r="J84" s="4"/>
      <c r="K84" s="4"/>
      <c r="L84" s="4"/>
      <c r="M84" s="4"/>
      <c r="N84" s="4"/>
      <c r="O84" s="4"/>
      <c r="P84" s="4"/>
      <c r="Q84" s="4"/>
      <c r="R84" s="4"/>
      <c r="S84" s="4"/>
      <c r="T84" s="4"/>
      <c r="U84" s="4"/>
      <c r="V84" s="4"/>
      <c r="W84" s="4"/>
      <c r="X84" s="4"/>
      <c r="Y84" s="4"/>
      <c r="Z84" s="4"/>
    </row>
    <row r="85">
      <c r="A85" s="4"/>
      <c r="B85" s="2"/>
      <c r="C85" s="4"/>
      <c r="D85" s="4"/>
      <c r="E85" s="4"/>
      <c r="F85" s="4"/>
      <c r="G85" s="4"/>
      <c r="H85" s="4"/>
      <c r="I85" s="4"/>
      <c r="J85" s="4"/>
      <c r="K85" s="4"/>
      <c r="L85" s="4"/>
      <c r="M85" s="4"/>
      <c r="N85" s="4"/>
      <c r="O85" s="4"/>
      <c r="P85" s="4"/>
      <c r="Q85" s="4"/>
      <c r="R85" s="4"/>
      <c r="S85" s="4"/>
      <c r="T85" s="4"/>
      <c r="U85" s="4"/>
      <c r="V85" s="4"/>
      <c r="W85" s="4"/>
      <c r="X85" s="4"/>
      <c r="Y85" s="4"/>
      <c r="Z85" s="4"/>
    </row>
    <row r="86">
      <c r="A86" s="4"/>
      <c r="B86" s="2"/>
      <c r="C86" s="4"/>
      <c r="D86" s="4"/>
      <c r="E86" s="4"/>
      <c r="F86" s="4"/>
      <c r="G86" s="4"/>
      <c r="H86" s="4"/>
      <c r="I86" s="4"/>
      <c r="J86" s="4"/>
      <c r="K86" s="4"/>
      <c r="L86" s="4"/>
      <c r="M86" s="4"/>
      <c r="N86" s="4"/>
      <c r="O86" s="4"/>
      <c r="P86" s="4"/>
      <c r="Q86" s="4"/>
      <c r="R86" s="4"/>
      <c r="S86" s="4"/>
      <c r="T86" s="4"/>
      <c r="U86" s="4"/>
      <c r="V86" s="4"/>
      <c r="W86" s="4"/>
      <c r="X86" s="4"/>
      <c r="Y86" s="4"/>
      <c r="Z86" s="4"/>
    </row>
    <row r="87">
      <c r="A87" s="4"/>
      <c r="B87" s="2"/>
      <c r="C87" s="4"/>
      <c r="D87" s="4"/>
      <c r="E87" s="4"/>
      <c r="F87" s="4"/>
      <c r="G87" s="4"/>
      <c r="H87" s="4"/>
      <c r="I87" s="4"/>
      <c r="J87" s="4"/>
      <c r="K87" s="4"/>
      <c r="L87" s="4"/>
      <c r="M87" s="4"/>
      <c r="N87" s="4"/>
      <c r="O87" s="4"/>
      <c r="P87" s="4"/>
      <c r="Q87" s="4"/>
      <c r="R87" s="4"/>
      <c r="S87" s="4"/>
      <c r="T87" s="4"/>
      <c r="U87" s="4"/>
      <c r="V87" s="4"/>
      <c r="W87" s="4"/>
      <c r="X87" s="4"/>
      <c r="Y87" s="4"/>
      <c r="Z87" s="4"/>
    </row>
    <row r="88">
      <c r="A88" s="4"/>
      <c r="B88" s="2"/>
      <c r="C88" s="4"/>
      <c r="D88" s="4"/>
      <c r="E88" s="4"/>
      <c r="F88" s="4"/>
      <c r="G88" s="4"/>
      <c r="H88" s="4"/>
      <c r="I88" s="4"/>
      <c r="J88" s="4"/>
      <c r="K88" s="4"/>
      <c r="L88" s="4"/>
      <c r="M88" s="4"/>
      <c r="N88" s="4"/>
      <c r="O88" s="4"/>
      <c r="P88" s="4"/>
      <c r="Q88" s="4"/>
      <c r="R88" s="4"/>
      <c r="S88" s="4"/>
      <c r="T88" s="4"/>
      <c r="U88" s="4"/>
      <c r="V88" s="4"/>
      <c r="W88" s="4"/>
      <c r="X88" s="4"/>
      <c r="Y88" s="4"/>
      <c r="Z88" s="4"/>
    </row>
    <row r="89">
      <c r="A89" s="4"/>
      <c r="B89" s="2"/>
      <c r="C89" s="4"/>
      <c r="D89" s="4"/>
      <c r="E89" s="4"/>
      <c r="F89" s="4"/>
      <c r="G89" s="4"/>
      <c r="H89" s="4"/>
      <c r="I89" s="4"/>
      <c r="J89" s="4"/>
      <c r="K89" s="4"/>
      <c r="L89" s="4"/>
      <c r="M89" s="4"/>
      <c r="N89" s="4"/>
      <c r="O89" s="4"/>
      <c r="P89" s="4"/>
      <c r="Q89" s="4"/>
      <c r="R89" s="4"/>
      <c r="S89" s="4"/>
      <c r="T89" s="4"/>
      <c r="U89" s="4"/>
      <c r="V89" s="4"/>
      <c r="W89" s="4"/>
      <c r="X89" s="4"/>
      <c r="Y89" s="4"/>
      <c r="Z89" s="4"/>
    </row>
    <row r="90">
      <c r="A90" s="4"/>
      <c r="B90" s="2"/>
      <c r="C90" s="4"/>
      <c r="D90" s="4"/>
      <c r="E90" s="4"/>
      <c r="F90" s="4"/>
      <c r="G90" s="4"/>
      <c r="H90" s="4"/>
      <c r="I90" s="4"/>
      <c r="J90" s="4"/>
      <c r="K90" s="4"/>
      <c r="L90" s="4"/>
      <c r="M90" s="4"/>
      <c r="N90" s="4"/>
      <c r="O90" s="4"/>
      <c r="P90" s="4"/>
      <c r="Q90" s="4"/>
      <c r="R90" s="4"/>
      <c r="S90" s="4"/>
      <c r="T90" s="4"/>
      <c r="U90" s="4"/>
      <c r="V90" s="4"/>
      <c r="W90" s="4"/>
      <c r="X90" s="4"/>
      <c r="Y90" s="4"/>
      <c r="Z90" s="4"/>
    </row>
    <row r="91">
      <c r="A91" s="4"/>
      <c r="B91" s="2"/>
      <c r="C91" s="4"/>
      <c r="D91" s="4"/>
      <c r="E91" s="4"/>
      <c r="F91" s="4"/>
      <c r="G91" s="4"/>
      <c r="H91" s="4"/>
      <c r="I91" s="4"/>
      <c r="J91" s="4"/>
      <c r="K91" s="4"/>
      <c r="L91" s="4"/>
      <c r="M91" s="4"/>
      <c r="N91" s="4"/>
      <c r="O91" s="4"/>
      <c r="P91" s="4"/>
      <c r="Q91" s="4"/>
      <c r="R91" s="4"/>
      <c r="S91" s="4"/>
      <c r="T91" s="4"/>
      <c r="U91" s="4"/>
      <c r="V91" s="4"/>
      <c r="W91" s="4"/>
      <c r="X91" s="4"/>
      <c r="Y91" s="4"/>
      <c r="Z91" s="4"/>
    </row>
    <row r="92">
      <c r="A92" s="4"/>
      <c r="B92" s="2"/>
      <c r="C92" s="4"/>
      <c r="D92" s="4"/>
      <c r="E92" s="4"/>
      <c r="F92" s="4"/>
      <c r="G92" s="4"/>
      <c r="H92" s="4"/>
      <c r="I92" s="4"/>
      <c r="J92" s="4"/>
      <c r="K92" s="4"/>
      <c r="L92" s="4"/>
      <c r="M92" s="4"/>
      <c r="N92" s="4"/>
      <c r="O92" s="4"/>
      <c r="P92" s="4"/>
      <c r="Q92" s="4"/>
      <c r="R92" s="4"/>
      <c r="S92" s="4"/>
      <c r="T92" s="4"/>
      <c r="U92" s="4"/>
      <c r="V92" s="4"/>
      <c r="W92" s="4"/>
      <c r="X92" s="4"/>
      <c r="Y92" s="4"/>
      <c r="Z92" s="4"/>
    </row>
    <row r="93">
      <c r="A93" s="4"/>
      <c r="B93" s="2"/>
      <c r="C93" s="4"/>
      <c r="D93" s="4"/>
      <c r="E93" s="4"/>
      <c r="F93" s="4"/>
      <c r="G93" s="4"/>
      <c r="H93" s="4"/>
      <c r="I93" s="4"/>
      <c r="J93" s="4"/>
      <c r="K93" s="4"/>
      <c r="L93" s="4"/>
      <c r="M93" s="4"/>
      <c r="N93" s="4"/>
      <c r="O93" s="4"/>
      <c r="P93" s="4"/>
      <c r="Q93" s="4"/>
      <c r="R93" s="4"/>
      <c r="S93" s="4"/>
      <c r="T93" s="4"/>
      <c r="U93" s="4"/>
      <c r="V93" s="4"/>
      <c r="W93" s="4"/>
      <c r="X93" s="4"/>
      <c r="Y93" s="4"/>
      <c r="Z93" s="4"/>
    </row>
    <row r="94">
      <c r="A94" s="4"/>
      <c r="B94" s="2"/>
      <c r="C94" s="4"/>
      <c r="D94" s="4"/>
      <c r="E94" s="4"/>
      <c r="F94" s="4"/>
      <c r="G94" s="4"/>
      <c r="H94" s="4"/>
      <c r="I94" s="4"/>
      <c r="J94" s="4"/>
      <c r="K94" s="4"/>
      <c r="L94" s="4"/>
      <c r="M94" s="4"/>
      <c r="N94" s="4"/>
      <c r="O94" s="4"/>
      <c r="P94" s="4"/>
      <c r="Q94" s="4"/>
      <c r="R94" s="4"/>
      <c r="S94" s="4"/>
      <c r="T94" s="4"/>
      <c r="U94" s="4"/>
      <c r="V94" s="4"/>
      <c r="W94" s="4"/>
      <c r="X94" s="4"/>
      <c r="Y94" s="4"/>
      <c r="Z94" s="4"/>
    </row>
    <row r="95">
      <c r="A95" s="4"/>
      <c r="B95" s="2"/>
      <c r="C95" s="4"/>
      <c r="D95" s="4"/>
      <c r="E95" s="4"/>
      <c r="F95" s="4"/>
      <c r="G95" s="4"/>
      <c r="H95" s="4"/>
      <c r="I95" s="4"/>
      <c r="J95" s="4"/>
      <c r="K95" s="4"/>
      <c r="L95" s="4"/>
      <c r="M95" s="4"/>
      <c r="N95" s="4"/>
      <c r="O95" s="4"/>
      <c r="P95" s="4"/>
      <c r="Q95" s="4"/>
      <c r="R95" s="4"/>
      <c r="S95" s="4"/>
      <c r="T95" s="4"/>
      <c r="U95" s="4"/>
      <c r="V95" s="4"/>
      <c r="W95" s="4"/>
      <c r="X95" s="4"/>
      <c r="Y95" s="4"/>
      <c r="Z95" s="4"/>
    </row>
    <row r="96">
      <c r="A96" s="4"/>
      <c r="B96" s="2"/>
      <c r="C96" s="4"/>
      <c r="D96" s="4"/>
      <c r="E96" s="4"/>
      <c r="F96" s="4"/>
      <c r="G96" s="4"/>
      <c r="H96" s="4"/>
      <c r="I96" s="4"/>
      <c r="J96" s="4"/>
      <c r="K96" s="4"/>
      <c r="L96" s="4"/>
      <c r="M96" s="4"/>
      <c r="N96" s="4"/>
      <c r="O96" s="4"/>
      <c r="P96" s="4"/>
      <c r="Q96" s="4"/>
      <c r="R96" s="4"/>
      <c r="S96" s="4"/>
      <c r="T96" s="4"/>
      <c r="U96" s="4"/>
      <c r="V96" s="4"/>
      <c r="W96" s="4"/>
      <c r="X96" s="4"/>
      <c r="Y96" s="4"/>
      <c r="Z96" s="4"/>
    </row>
    <row r="97">
      <c r="A97" s="4"/>
      <c r="B97" s="2"/>
      <c r="C97" s="4"/>
      <c r="D97" s="4"/>
      <c r="E97" s="4"/>
      <c r="F97" s="4"/>
      <c r="G97" s="4"/>
      <c r="H97" s="4"/>
      <c r="I97" s="4"/>
      <c r="J97" s="4"/>
      <c r="K97" s="4"/>
      <c r="L97" s="4"/>
      <c r="M97" s="4"/>
      <c r="N97" s="4"/>
      <c r="O97" s="4"/>
      <c r="P97" s="4"/>
      <c r="Q97" s="4"/>
      <c r="R97" s="4"/>
      <c r="S97" s="4"/>
      <c r="T97" s="4"/>
      <c r="U97" s="4"/>
      <c r="V97" s="4"/>
      <c r="W97" s="4"/>
      <c r="X97" s="4"/>
      <c r="Y97" s="4"/>
      <c r="Z97" s="4"/>
    </row>
    <row r="98">
      <c r="A98" s="4"/>
      <c r="B98" s="2"/>
      <c r="C98" s="4"/>
      <c r="D98" s="4"/>
      <c r="E98" s="4"/>
      <c r="F98" s="4"/>
      <c r="G98" s="4"/>
      <c r="H98" s="4"/>
      <c r="I98" s="4"/>
      <c r="J98" s="4"/>
      <c r="K98" s="4"/>
      <c r="L98" s="4"/>
      <c r="M98" s="4"/>
      <c r="N98" s="4"/>
      <c r="O98" s="4"/>
      <c r="P98" s="4"/>
      <c r="Q98" s="4"/>
      <c r="R98" s="4"/>
      <c r="S98" s="4"/>
      <c r="T98" s="4"/>
      <c r="U98" s="4"/>
      <c r="V98" s="4"/>
      <c r="W98" s="4"/>
      <c r="X98" s="4"/>
      <c r="Y98" s="4"/>
      <c r="Z98" s="4"/>
    </row>
    <row r="99">
      <c r="A99" s="4"/>
      <c r="B99" s="2"/>
      <c r="C99" s="4"/>
      <c r="D99" s="4"/>
      <c r="E99" s="4"/>
      <c r="F99" s="4"/>
      <c r="G99" s="4"/>
      <c r="H99" s="4"/>
      <c r="I99" s="4"/>
      <c r="J99" s="4"/>
      <c r="K99" s="4"/>
      <c r="L99" s="4"/>
      <c r="M99" s="4"/>
      <c r="N99" s="4"/>
      <c r="O99" s="4"/>
      <c r="P99" s="4"/>
      <c r="Q99" s="4"/>
      <c r="R99" s="4"/>
      <c r="S99" s="4"/>
      <c r="T99" s="4"/>
      <c r="U99" s="4"/>
      <c r="V99" s="4"/>
      <c r="W99" s="4"/>
      <c r="X99" s="4"/>
      <c r="Y99" s="4"/>
      <c r="Z99" s="4"/>
    </row>
    <row r="100">
      <c r="A100" s="4"/>
      <c r="B100" s="2"/>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2"/>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2"/>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2"/>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2"/>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2"/>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2"/>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2"/>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2"/>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2"/>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2"/>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2"/>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2"/>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2"/>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2"/>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2"/>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2"/>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2"/>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2"/>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2"/>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2"/>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2"/>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2"/>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2"/>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2"/>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2"/>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2"/>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2"/>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2"/>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2"/>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2"/>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2"/>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2"/>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2"/>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2"/>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2"/>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2"/>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2"/>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2"/>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2"/>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2"/>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2"/>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2"/>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2"/>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2"/>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2"/>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2"/>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2"/>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2"/>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2"/>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2"/>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2"/>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2"/>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2"/>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2"/>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2"/>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2"/>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2"/>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2"/>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2"/>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2"/>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2"/>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2"/>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2"/>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2"/>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2"/>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2"/>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2"/>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2"/>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2"/>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2"/>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2"/>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2"/>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2"/>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2"/>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2"/>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2"/>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2"/>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2"/>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2"/>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2"/>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2"/>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2"/>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2"/>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2"/>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2"/>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2"/>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2"/>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2"/>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2"/>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2"/>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2"/>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2"/>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2"/>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2"/>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2"/>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2"/>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2"/>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2"/>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2"/>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2"/>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2"/>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2"/>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2"/>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2"/>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2"/>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2"/>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2"/>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2"/>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2"/>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2"/>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2"/>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2"/>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2"/>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2"/>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2"/>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2"/>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2"/>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2"/>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2"/>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2"/>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2"/>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2"/>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2"/>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2"/>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2"/>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2"/>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2"/>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2"/>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2"/>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2"/>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2"/>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2"/>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2"/>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2"/>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2"/>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2"/>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2"/>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2"/>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2"/>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2"/>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2"/>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2"/>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2"/>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2"/>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2"/>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2"/>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2"/>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2"/>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2"/>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2"/>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2"/>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2"/>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2"/>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2"/>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2"/>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B256" s="57"/>
    </row>
    <row r="257">
      <c r="B257" s="57"/>
    </row>
    <row r="258">
      <c r="B258" s="57"/>
    </row>
    <row r="259">
      <c r="B259" s="57"/>
    </row>
    <row r="260">
      <c r="B260" s="57"/>
    </row>
    <row r="261">
      <c r="B261" s="57"/>
    </row>
    <row r="262">
      <c r="B262" s="57"/>
    </row>
    <row r="263">
      <c r="B263" s="57"/>
    </row>
    <row r="264">
      <c r="B264" s="57"/>
    </row>
    <row r="265">
      <c r="B265" s="57"/>
    </row>
    <row r="266">
      <c r="B266" s="57"/>
    </row>
    <row r="267">
      <c r="B267" s="57"/>
    </row>
    <row r="268">
      <c r="B268" s="57"/>
    </row>
    <row r="269">
      <c r="B269" s="57"/>
    </row>
    <row r="270">
      <c r="B270" s="57"/>
    </row>
    <row r="271">
      <c r="B271" s="57"/>
    </row>
    <row r="272">
      <c r="B272" s="57"/>
    </row>
    <row r="273">
      <c r="B273" s="57"/>
    </row>
    <row r="274">
      <c r="B274" s="57"/>
    </row>
    <row r="275">
      <c r="B275" s="57"/>
    </row>
    <row r="276">
      <c r="B276" s="57"/>
    </row>
    <row r="277">
      <c r="B277" s="57"/>
    </row>
    <row r="278">
      <c r="B278" s="57"/>
    </row>
    <row r="279">
      <c r="B279" s="57"/>
    </row>
    <row r="280">
      <c r="B280" s="57"/>
    </row>
    <row r="281">
      <c r="B281" s="57"/>
    </row>
    <row r="282">
      <c r="B282" s="57"/>
    </row>
    <row r="283">
      <c r="B283" s="57"/>
    </row>
    <row r="284">
      <c r="B284" s="57"/>
    </row>
    <row r="285">
      <c r="B285" s="57"/>
    </row>
    <row r="286">
      <c r="B286" s="57"/>
    </row>
    <row r="287">
      <c r="B287" s="57"/>
    </row>
    <row r="288">
      <c r="B288" s="57"/>
    </row>
    <row r="289">
      <c r="B289" s="57"/>
    </row>
    <row r="290">
      <c r="B290" s="57"/>
    </row>
    <row r="291">
      <c r="B291" s="57"/>
    </row>
    <row r="292">
      <c r="B292" s="57"/>
    </row>
    <row r="293">
      <c r="B293" s="57"/>
    </row>
    <row r="294">
      <c r="B294" s="57"/>
    </row>
    <row r="295">
      <c r="B295" s="57"/>
    </row>
    <row r="296">
      <c r="B296" s="57"/>
    </row>
    <row r="297">
      <c r="B297" s="57"/>
    </row>
    <row r="298">
      <c r="B298" s="57"/>
    </row>
    <row r="299">
      <c r="B299" s="57"/>
    </row>
    <row r="300">
      <c r="B300" s="57"/>
    </row>
    <row r="301">
      <c r="B301" s="57"/>
    </row>
    <row r="302">
      <c r="B302" s="57"/>
    </row>
    <row r="303">
      <c r="B303" s="57"/>
    </row>
    <row r="304">
      <c r="B304" s="57"/>
    </row>
    <row r="305">
      <c r="B305" s="57"/>
    </row>
    <row r="306">
      <c r="B306" s="57"/>
    </row>
    <row r="307">
      <c r="B307" s="57"/>
    </row>
    <row r="308">
      <c r="B308" s="57"/>
    </row>
    <row r="309">
      <c r="B309" s="57"/>
    </row>
    <row r="310">
      <c r="B310" s="57"/>
    </row>
    <row r="311">
      <c r="B311" s="57"/>
    </row>
    <row r="312">
      <c r="B312" s="57"/>
    </row>
    <row r="313">
      <c r="B313" s="57"/>
    </row>
    <row r="314">
      <c r="B314" s="57"/>
    </row>
    <row r="315">
      <c r="B315" s="57"/>
    </row>
    <row r="316">
      <c r="B316" s="57"/>
    </row>
    <row r="317">
      <c r="B317" s="57"/>
    </row>
    <row r="318">
      <c r="B318" s="57"/>
    </row>
    <row r="319">
      <c r="B319" s="57"/>
    </row>
    <row r="320">
      <c r="B320" s="57"/>
    </row>
    <row r="321">
      <c r="B321" s="57"/>
    </row>
    <row r="322">
      <c r="B322" s="57"/>
    </row>
    <row r="323">
      <c r="B323" s="57"/>
    </row>
    <row r="324">
      <c r="B324" s="57"/>
    </row>
    <row r="325">
      <c r="B325" s="57"/>
    </row>
    <row r="326">
      <c r="B326" s="57"/>
    </row>
    <row r="327">
      <c r="B327" s="57"/>
    </row>
    <row r="328">
      <c r="B328" s="57"/>
    </row>
    <row r="329">
      <c r="B329" s="57"/>
    </row>
    <row r="330">
      <c r="B330" s="57"/>
    </row>
    <row r="331">
      <c r="B331" s="57"/>
    </row>
    <row r="332">
      <c r="B332" s="57"/>
    </row>
    <row r="333">
      <c r="B333" s="57"/>
    </row>
    <row r="334">
      <c r="B334" s="57"/>
    </row>
    <row r="335">
      <c r="B335" s="57"/>
    </row>
    <row r="336">
      <c r="B336" s="57"/>
    </row>
    <row r="337">
      <c r="B337" s="57"/>
    </row>
    <row r="338">
      <c r="B338" s="57"/>
    </row>
    <row r="339">
      <c r="B339" s="57"/>
    </row>
    <row r="340">
      <c r="B340" s="57"/>
    </row>
    <row r="341">
      <c r="B341" s="57"/>
    </row>
    <row r="342">
      <c r="B342" s="57"/>
    </row>
    <row r="343">
      <c r="B343" s="57"/>
    </row>
    <row r="344">
      <c r="B344" s="57"/>
    </row>
    <row r="345">
      <c r="B345" s="57"/>
    </row>
    <row r="346">
      <c r="B346" s="57"/>
    </row>
    <row r="347">
      <c r="B347" s="57"/>
    </row>
    <row r="348">
      <c r="B348" s="57"/>
    </row>
    <row r="349">
      <c r="B349" s="57"/>
    </row>
    <row r="350">
      <c r="B350" s="57"/>
    </row>
    <row r="351">
      <c r="B351" s="57"/>
    </row>
    <row r="352">
      <c r="B352" s="57"/>
    </row>
    <row r="353">
      <c r="B353" s="57"/>
    </row>
    <row r="354">
      <c r="B354" s="57"/>
    </row>
    <row r="355">
      <c r="B355" s="57"/>
    </row>
    <row r="356">
      <c r="B356" s="57"/>
    </row>
    <row r="357">
      <c r="B357" s="57"/>
    </row>
    <row r="358">
      <c r="B358" s="57"/>
    </row>
    <row r="359">
      <c r="B359" s="57"/>
    </row>
    <row r="360">
      <c r="B360" s="57"/>
    </row>
    <row r="361">
      <c r="B361" s="57"/>
    </row>
    <row r="362">
      <c r="B362" s="57"/>
    </row>
    <row r="363">
      <c r="B363" s="57"/>
    </row>
    <row r="364">
      <c r="B364" s="57"/>
    </row>
    <row r="365">
      <c r="B365" s="57"/>
    </row>
    <row r="366">
      <c r="B366" s="57"/>
    </row>
    <row r="367">
      <c r="B367" s="57"/>
    </row>
    <row r="368">
      <c r="B368" s="57"/>
    </row>
    <row r="369">
      <c r="B369" s="57"/>
    </row>
    <row r="370">
      <c r="B370" s="57"/>
    </row>
    <row r="371">
      <c r="B371" s="57"/>
    </row>
    <row r="372">
      <c r="B372" s="57"/>
    </row>
    <row r="373">
      <c r="B373" s="57"/>
    </row>
    <row r="374">
      <c r="B374" s="57"/>
    </row>
    <row r="375">
      <c r="B375" s="57"/>
    </row>
    <row r="376">
      <c r="B376" s="57"/>
    </row>
    <row r="377">
      <c r="B377" s="57"/>
    </row>
    <row r="378">
      <c r="B378" s="57"/>
    </row>
    <row r="379">
      <c r="B379" s="57"/>
    </row>
    <row r="380">
      <c r="B380" s="57"/>
    </row>
    <row r="381">
      <c r="B381" s="57"/>
    </row>
    <row r="382">
      <c r="B382" s="57"/>
    </row>
    <row r="383">
      <c r="B383" s="57"/>
    </row>
    <row r="384">
      <c r="B384" s="57"/>
    </row>
    <row r="385">
      <c r="B385" s="57"/>
    </row>
    <row r="386">
      <c r="B386" s="57"/>
    </row>
    <row r="387">
      <c r="B387" s="57"/>
    </row>
    <row r="388">
      <c r="B388" s="57"/>
    </row>
    <row r="389">
      <c r="B389" s="57"/>
    </row>
    <row r="390">
      <c r="B390" s="57"/>
    </row>
    <row r="391">
      <c r="B391" s="57"/>
    </row>
    <row r="392">
      <c r="B392" s="57"/>
    </row>
    <row r="393">
      <c r="B393" s="57"/>
    </row>
    <row r="394">
      <c r="B394" s="57"/>
    </row>
    <row r="395">
      <c r="B395" s="57"/>
    </row>
    <row r="396">
      <c r="B396" s="57"/>
    </row>
    <row r="397">
      <c r="B397" s="57"/>
    </row>
    <row r="398">
      <c r="B398" s="57"/>
    </row>
    <row r="399">
      <c r="B399" s="57"/>
    </row>
    <row r="400">
      <c r="B400" s="57"/>
    </row>
    <row r="401">
      <c r="B401" s="57"/>
    </row>
    <row r="402">
      <c r="B402" s="57"/>
    </row>
    <row r="403">
      <c r="B403" s="57"/>
    </row>
    <row r="404">
      <c r="B404" s="57"/>
    </row>
    <row r="405">
      <c r="B405" s="57"/>
    </row>
    <row r="406">
      <c r="B406" s="57"/>
    </row>
    <row r="407">
      <c r="B407" s="57"/>
    </row>
    <row r="408">
      <c r="B408" s="57"/>
    </row>
    <row r="409">
      <c r="B409" s="57"/>
    </row>
    <row r="410">
      <c r="B410" s="57"/>
    </row>
    <row r="411">
      <c r="B411" s="57"/>
    </row>
    <row r="412">
      <c r="B412" s="57"/>
    </row>
    <row r="413">
      <c r="B413" s="57"/>
    </row>
    <row r="414">
      <c r="B414" s="57"/>
    </row>
    <row r="415">
      <c r="B415" s="57"/>
    </row>
    <row r="416">
      <c r="B416" s="57"/>
    </row>
    <row r="417">
      <c r="B417" s="57"/>
    </row>
    <row r="418">
      <c r="B418" s="57"/>
    </row>
    <row r="419">
      <c r="B419" s="57"/>
    </row>
    <row r="420">
      <c r="B420" s="57"/>
    </row>
    <row r="421">
      <c r="B421" s="57"/>
    </row>
    <row r="422">
      <c r="B422" s="57"/>
    </row>
    <row r="423">
      <c r="B423" s="57"/>
    </row>
    <row r="424">
      <c r="B424" s="57"/>
    </row>
    <row r="425">
      <c r="B425" s="57"/>
    </row>
    <row r="426">
      <c r="B426" s="57"/>
    </row>
    <row r="427">
      <c r="B427" s="57"/>
    </row>
    <row r="428">
      <c r="B428" s="57"/>
    </row>
    <row r="429">
      <c r="B429" s="57"/>
    </row>
    <row r="430">
      <c r="B430" s="57"/>
    </row>
    <row r="431">
      <c r="B431" s="57"/>
    </row>
    <row r="432">
      <c r="B432" s="57"/>
    </row>
    <row r="433">
      <c r="B433" s="57"/>
    </row>
    <row r="434">
      <c r="B434" s="57"/>
    </row>
    <row r="435">
      <c r="B435" s="57"/>
    </row>
    <row r="436">
      <c r="B436" s="57"/>
    </row>
    <row r="437">
      <c r="B437" s="57"/>
    </row>
    <row r="438">
      <c r="B438" s="57"/>
    </row>
    <row r="439">
      <c r="B439" s="57"/>
    </row>
    <row r="440">
      <c r="B440" s="57"/>
    </row>
    <row r="441">
      <c r="B441" s="57"/>
    </row>
    <row r="442">
      <c r="B442" s="57"/>
    </row>
    <row r="443">
      <c r="B443" s="57"/>
    </row>
    <row r="444">
      <c r="B444" s="57"/>
    </row>
    <row r="445">
      <c r="B445" s="57"/>
    </row>
    <row r="446">
      <c r="B446" s="57"/>
    </row>
    <row r="447">
      <c r="B447" s="57"/>
    </row>
    <row r="448">
      <c r="B448" s="57"/>
    </row>
    <row r="449">
      <c r="B449" s="57"/>
    </row>
    <row r="450">
      <c r="B450" s="57"/>
    </row>
    <row r="451">
      <c r="B451" s="57"/>
    </row>
    <row r="452">
      <c r="B452" s="57"/>
    </row>
    <row r="453">
      <c r="B453" s="57"/>
    </row>
    <row r="454">
      <c r="B454" s="57"/>
    </row>
    <row r="455">
      <c r="B455" s="57"/>
    </row>
    <row r="456">
      <c r="B456" s="57"/>
    </row>
    <row r="457">
      <c r="B457" s="57"/>
    </row>
    <row r="458">
      <c r="B458" s="57"/>
    </row>
    <row r="459">
      <c r="B459" s="57"/>
    </row>
    <row r="460">
      <c r="B460" s="57"/>
    </row>
    <row r="461">
      <c r="B461" s="57"/>
    </row>
    <row r="462">
      <c r="B462" s="57"/>
    </row>
    <row r="463">
      <c r="B463" s="57"/>
    </row>
    <row r="464">
      <c r="B464" s="57"/>
    </row>
    <row r="465">
      <c r="B465" s="57"/>
    </row>
    <row r="466">
      <c r="B466" s="57"/>
    </row>
    <row r="467">
      <c r="B467" s="57"/>
    </row>
    <row r="468">
      <c r="B468" s="57"/>
    </row>
    <row r="469">
      <c r="B469" s="57"/>
    </row>
    <row r="470">
      <c r="B470" s="57"/>
    </row>
    <row r="471">
      <c r="B471" s="57"/>
    </row>
    <row r="472">
      <c r="B472" s="57"/>
    </row>
    <row r="473">
      <c r="B473" s="57"/>
    </row>
    <row r="474">
      <c r="B474" s="57"/>
    </row>
    <row r="475">
      <c r="B475" s="57"/>
    </row>
    <row r="476">
      <c r="B476" s="57"/>
    </row>
    <row r="477">
      <c r="B477" s="57"/>
    </row>
    <row r="478">
      <c r="B478" s="57"/>
    </row>
    <row r="479">
      <c r="B479" s="57"/>
    </row>
    <row r="480">
      <c r="B480" s="57"/>
    </row>
    <row r="481">
      <c r="B481" s="57"/>
    </row>
    <row r="482">
      <c r="B482" s="57"/>
    </row>
    <row r="483">
      <c r="B483" s="57"/>
    </row>
    <row r="484">
      <c r="B484" s="57"/>
    </row>
    <row r="485">
      <c r="B485" s="57"/>
    </row>
    <row r="486">
      <c r="B486" s="57"/>
    </row>
    <row r="487">
      <c r="B487" s="57"/>
    </row>
    <row r="488">
      <c r="B488" s="57"/>
    </row>
    <row r="489">
      <c r="B489" s="57"/>
    </row>
    <row r="490">
      <c r="B490" s="57"/>
    </row>
    <row r="491">
      <c r="B491" s="57"/>
    </row>
    <row r="492">
      <c r="B492" s="57"/>
    </row>
    <row r="493">
      <c r="B493" s="57"/>
    </row>
    <row r="494">
      <c r="B494" s="57"/>
    </row>
    <row r="495">
      <c r="B495" s="57"/>
    </row>
    <row r="496">
      <c r="B496" s="57"/>
    </row>
    <row r="497">
      <c r="B497" s="57"/>
    </row>
    <row r="498">
      <c r="B498" s="57"/>
    </row>
    <row r="499">
      <c r="B499" s="57"/>
    </row>
    <row r="500">
      <c r="B500" s="57"/>
    </row>
    <row r="501">
      <c r="B501" s="57"/>
    </row>
    <row r="502">
      <c r="B502" s="57"/>
    </row>
    <row r="503">
      <c r="B503" s="57"/>
    </row>
    <row r="504">
      <c r="B504" s="57"/>
    </row>
    <row r="505">
      <c r="B505" s="57"/>
    </row>
    <row r="506">
      <c r="B506" s="57"/>
    </row>
    <row r="507">
      <c r="B507" s="57"/>
    </row>
    <row r="508">
      <c r="B508" s="57"/>
    </row>
    <row r="509">
      <c r="B509" s="57"/>
    </row>
    <row r="510">
      <c r="B510" s="57"/>
    </row>
    <row r="511">
      <c r="B511" s="57"/>
    </row>
    <row r="512">
      <c r="B512" s="57"/>
    </row>
    <row r="513">
      <c r="B513" s="57"/>
    </row>
    <row r="514">
      <c r="B514" s="57"/>
    </row>
    <row r="515">
      <c r="B515" s="57"/>
    </row>
    <row r="516">
      <c r="B516" s="57"/>
    </row>
    <row r="517">
      <c r="B517" s="57"/>
    </row>
    <row r="518">
      <c r="B518" s="57"/>
    </row>
    <row r="519">
      <c r="B519" s="57"/>
    </row>
    <row r="520">
      <c r="B520" s="57"/>
    </row>
    <row r="521">
      <c r="B521" s="57"/>
    </row>
    <row r="522">
      <c r="B522" s="57"/>
    </row>
    <row r="523">
      <c r="B523" s="57"/>
    </row>
    <row r="524">
      <c r="B524" s="57"/>
    </row>
    <row r="525">
      <c r="B525" s="57"/>
    </row>
    <row r="526">
      <c r="B526" s="57"/>
    </row>
    <row r="527">
      <c r="B527" s="57"/>
    </row>
    <row r="528">
      <c r="B528" s="57"/>
    </row>
    <row r="529">
      <c r="B529" s="57"/>
    </row>
    <row r="530">
      <c r="B530" s="57"/>
    </row>
    <row r="531">
      <c r="B531" s="57"/>
    </row>
    <row r="532">
      <c r="B532" s="57"/>
    </row>
    <row r="533">
      <c r="B533" s="57"/>
    </row>
    <row r="534">
      <c r="B534" s="57"/>
    </row>
    <row r="535">
      <c r="B535" s="57"/>
    </row>
    <row r="536">
      <c r="B536" s="57"/>
    </row>
    <row r="537">
      <c r="B537" s="57"/>
    </row>
    <row r="538">
      <c r="B538" s="57"/>
    </row>
    <row r="539">
      <c r="B539" s="57"/>
    </row>
    <row r="540">
      <c r="B540" s="57"/>
    </row>
    <row r="541">
      <c r="B541" s="57"/>
    </row>
    <row r="542">
      <c r="B542" s="57"/>
    </row>
    <row r="543">
      <c r="B543" s="57"/>
    </row>
    <row r="544">
      <c r="B544" s="57"/>
    </row>
    <row r="545">
      <c r="B545" s="57"/>
    </row>
    <row r="546">
      <c r="B546" s="57"/>
    </row>
    <row r="547">
      <c r="B547" s="57"/>
    </row>
    <row r="548">
      <c r="B548" s="57"/>
    </row>
    <row r="549">
      <c r="B549" s="57"/>
    </row>
    <row r="550">
      <c r="B550" s="57"/>
    </row>
    <row r="551">
      <c r="B551" s="57"/>
    </row>
    <row r="552">
      <c r="B552" s="57"/>
    </row>
    <row r="553">
      <c r="B553" s="57"/>
    </row>
    <row r="554">
      <c r="B554" s="57"/>
    </row>
    <row r="555">
      <c r="B555" s="57"/>
    </row>
    <row r="556">
      <c r="B556" s="57"/>
    </row>
    <row r="557">
      <c r="B557" s="57"/>
    </row>
    <row r="558">
      <c r="B558" s="57"/>
    </row>
    <row r="559">
      <c r="B559" s="57"/>
    </row>
    <row r="560">
      <c r="B560" s="57"/>
    </row>
    <row r="561">
      <c r="B561" s="57"/>
    </row>
    <row r="562">
      <c r="B562" s="57"/>
    </row>
    <row r="563">
      <c r="B563" s="57"/>
    </row>
    <row r="564">
      <c r="B564" s="57"/>
    </row>
    <row r="565">
      <c r="B565" s="57"/>
    </row>
    <row r="566">
      <c r="B566" s="57"/>
    </row>
    <row r="567">
      <c r="B567" s="57"/>
    </row>
    <row r="568">
      <c r="B568" s="57"/>
    </row>
    <row r="569">
      <c r="B569" s="57"/>
    </row>
    <row r="570">
      <c r="B570" s="57"/>
    </row>
    <row r="571">
      <c r="B571" s="57"/>
    </row>
    <row r="572">
      <c r="B572" s="57"/>
    </row>
    <row r="573">
      <c r="B573" s="57"/>
    </row>
    <row r="574">
      <c r="B574" s="57"/>
    </row>
    <row r="575">
      <c r="B575" s="57"/>
    </row>
    <row r="576">
      <c r="B576" s="57"/>
    </row>
    <row r="577">
      <c r="B577" s="57"/>
    </row>
    <row r="578">
      <c r="B578" s="57"/>
    </row>
    <row r="579">
      <c r="B579" s="57"/>
    </row>
    <row r="580">
      <c r="B580" s="57"/>
    </row>
    <row r="581">
      <c r="B581" s="57"/>
    </row>
    <row r="582">
      <c r="B582" s="57"/>
    </row>
    <row r="583">
      <c r="B583" s="57"/>
    </row>
    <row r="584">
      <c r="B584" s="57"/>
    </row>
    <row r="585">
      <c r="B585" s="57"/>
    </row>
    <row r="586">
      <c r="B586" s="57"/>
    </row>
    <row r="587">
      <c r="B587" s="57"/>
    </row>
    <row r="588">
      <c r="B588" s="57"/>
    </row>
    <row r="589">
      <c r="B589" s="57"/>
    </row>
    <row r="590">
      <c r="B590" s="57"/>
    </row>
    <row r="591">
      <c r="B591" s="57"/>
    </row>
    <row r="592">
      <c r="B592" s="57"/>
    </row>
    <row r="593">
      <c r="B593" s="57"/>
    </row>
    <row r="594">
      <c r="B594" s="57"/>
    </row>
    <row r="595">
      <c r="B595" s="57"/>
    </row>
    <row r="596">
      <c r="B596" s="57"/>
    </row>
    <row r="597">
      <c r="B597" s="57"/>
    </row>
    <row r="598">
      <c r="B598" s="57"/>
    </row>
    <row r="599">
      <c r="B599" s="57"/>
    </row>
    <row r="600">
      <c r="B600" s="57"/>
    </row>
    <row r="601">
      <c r="B601" s="57"/>
    </row>
    <row r="602">
      <c r="B602" s="57"/>
    </row>
    <row r="603">
      <c r="B603" s="57"/>
    </row>
    <row r="604">
      <c r="B604" s="57"/>
    </row>
    <row r="605">
      <c r="B605" s="57"/>
    </row>
    <row r="606">
      <c r="B606" s="57"/>
    </row>
    <row r="607">
      <c r="B607" s="57"/>
    </row>
    <row r="608">
      <c r="B608" s="57"/>
    </row>
    <row r="609">
      <c r="B609" s="57"/>
    </row>
    <row r="610">
      <c r="B610" s="57"/>
    </row>
    <row r="611">
      <c r="B611" s="57"/>
    </row>
    <row r="612">
      <c r="B612" s="57"/>
    </row>
    <row r="613">
      <c r="B613" s="57"/>
    </row>
    <row r="614">
      <c r="B614" s="57"/>
    </row>
    <row r="615">
      <c r="B615" s="57"/>
    </row>
    <row r="616">
      <c r="B616" s="57"/>
    </row>
    <row r="617">
      <c r="B617" s="57"/>
    </row>
    <row r="618">
      <c r="B618" s="57"/>
    </row>
    <row r="619">
      <c r="B619" s="57"/>
    </row>
    <row r="620">
      <c r="B620" s="57"/>
    </row>
    <row r="621">
      <c r="B621" s="57"/>
    </row>
    <row r="622">
      <c r="B622" s="57"/>
    </row>
    <row r="623">
      <c r="B623" s="57"/>
    </row>
    <row r="624">
      <c r="B624" s="57"/>
    </row>
    <row r="625">
      <c r="B625" s="57"/>
    </row>
    <row r="626">
      <c r="B626" s="57"/>
    </row>
    <row r="627">
      <c r="B627" s="57"/>
    </row>
    <row r="628">
      <c r="B628" s="57"/>
    </row>
    <row r="629">
      <c r="B629" s="57"/>
    </row>
    <row r="630">
      <c r="B630" s="57"/>
    </row>
    <row r="631">
      <c r="B631" s="57"/>
    </row>
    <row r="632">
      <c r="B632" s="57"/>
    </row>
    <row r="633">
      <c r="B633" s="57"/>
    </row>
    <row r="634">
      <c r="B634" s="57"/>
    </row>
    <row r="635">
      <c r="B635" s="57"/>
    </row>
    <row r="636">
      <c r="B636" s="57"/>
    </row>
    <row r="637">
      <c r="B637" s="57"/>
    </row>
    <row r="638">
      <c r="B638" s="57"/>
    </row>
    <row r="639">
      <c r="B639" s="57"/>
    </row>
    <row r="640">
      <c r="B640" s="57"/>
    </row>
    <row r="641">
      <c r="B641" s="57"/>
    </row>
    <row r="642">
      <c r="B642" s="57"/>
    </row>
    <row r="643">
      <c r="B643" s="57"/>
    </row>
    <row r="644">
      <c r="B644" s="57"/>
    </row>
    <row r="645">
      <c r="B645" s="57"/>
    </row>
    <row r="646">
      <c r="B646" s="57"/>
    </row>
    <row r="647">
      <c r="B647" s="57"/>
    </row>
    <row r="648">
      <c r="B648" s="57"/>
    </row>
    <row r="649">
      <c r="B649" s="57"/>
    </row>
    <row r="650">
      <c r="B650" s="57"/>
    </row>
    <row r="651">
      <c r="B651" s="57"/>
    </row>
    <row r="652">
      <c r="B652" s="57"/>
    </row>
    <row r="653">
      <c r="B653" s="57"/>
    </row>
    <row r="654">
      <c r="B654" s="57"/>
    </row>
    <row r="655">
      <c r="B655" s="57"/>
    </row>
    <row r="656">
      <c r="B656" s="57"/>
    </row>
    <row r="657">
      <c r="B657" s="57"/>
    </row>
    <row r="658">
      <c r="B658" s="57"/>
    </row>
    <row r="659">
      <c r="B659" s="57"/>
    </row>
    <row r="660">
      <c r="B660" s="57"/>
    </row>
    <row r="661">
      <c r="B661" s="57"/>
    </row>
    <row r="662">
      <c r="B662" s="57"/>
    </row>
    <row r="663">
      <c r="B663" s="57"/>
    </row>
    <row r="664">
      <c r="B664" s="57"/>
    </row>
    <row r="665">
      <c r="B665" s="57"/>
    </row>
    <row r="666">
      <c r="B666" s="57"/>
    </row>
    <row r="667">
      <c r="B667" s="57"/>
    </row>
    <row r="668">
      <c r="B668" s="57"/>
    </row>
    <row r="669">
      <c r="B669" s="57"/>
    </row>
    <row r="670">
      <c r="B670" s="57"/>
    </row>
    <row r="671">
      <c r="B671" s="57"/>
    </row>
    <row r="672">
      <c r="B672" s="57"/>
    </row>
    <row r="673">
      <c r="B673" s="57"/>
    </row>
    <row r="674">
      <c r="B674" s="57"/>
    </row>
    <row r="675">
      <c r="B675" s="57"/>
    </row>
    <row r="676">
      <c r="B676" s="57"/>
    </row>
    <row r="677">
      <c r="B677" s="57"/>
    </row>
    <row r="678">
      <c r="B678" s="57"/>
    </row>
    <row r="679">
      <c r="B679" s="57"/>
    </row>
    <row r="680">
      <c r="B680" s="57"/>
    </row>
    <row r="681">
      <c r="B681" s="57"/>
    </row>
    <row r="682">
      <c r="B682" s="57"/>
    </row>
    <row r="683">
      <c r="B683" s="57"/>
    </row>
    <row r="684">
      <c r="B684" s="57"/>
    </row>
    <row r="685">
      <c r="B685" s="57"/>
    </row>
    <row r="686">
      <c r="B686" s="57"/>
    </row>
    <row r="687">
      <c r="B687" s="57"/>
    </row>
    <row r="688">
      <c r="B688" s="57"/>
    </row>
    <row r="689">
      <c r="B689" s="57"/>
    </row>
    <row r="690">
      <c r="B690" s="57"/>
    </row>
    <row r="691">
      <c r="B691" s="57"/>
    </row>
    <row r="692">
      <c r="B692" s="57"/>
    </row>
    <row r="693">
      <c r="B693" s="57"/>
    </row>
    <row r="694">
      <c r="B694" s="57"/>
    </row>
    <row r="695">
      <c r="B695" s="57"/>
    </row>
    <row r="696">
      <c r="B696" s="57"/>
    </row>
    <row r="697">
      <c r="B697" s="57"/>
    </row>
    <row r="698">
      <c r="B698" s="57"/>
    </row>
    <row r="699">
      <c r="B699" s="57"/>
    </row>
    <row r="700">
      <c r="B700" s="57"/>
    </row>
    <row r="701">
      <c r="B701" s="57"/>
    </row>
    <row r="702">
      <c r="B702" s="57"/>
    </row>
    <row r="703">
      <c r="B703" s="57"/>
    </row>
    <row r="704">
      <c r="B704" s="57"/>
    </row>
    <row r="705">
      <c r="B705" s="57"/>
    </row>
    <row r="706">
      <c r="B706" s="57"/>
    </row>
    <row r="707">
      <c r="B707" s="57"/>
    </row>
    <row r="708">
      <c r="B708" s="57"/>
    </row>
    <row r="709">
      <c r="B709" s="57"/>
    </row>
    <row r="710">
      <c r="B710" s="57"/>
    </row>
    <row r="711">
      <c r="B711" s="57"/>
    </row>
    <row r="712">
      <c r="B712" s="57"/>
    </row>
    <row r="713">
      <c r="B713" s="57"/>
    </row>
    <row r="714">
      <c r="B714" s="57"/>
    </row>
    <row r="715">
      <c r="B715" s="57"/>
    </row>
    <row r="716">
      <c r="B716" s="57"/>
    </row>
    <row r="717">
      <c r="B717" s="57"/>
    </row>
    <row r="718">
      <c r="B718" s="57"/>
    </row>
    <row r="719">
      <c r="B719" s="57"/>
    </row>
    <row r="720">
      <c r="B720" s="57"/>
    </row>
    <row r="721">
      <c r="B721" s="57"/>
    </row>
    <row r="722">
      <c r="B722" s="57"/>
    </row>
    <row r="723">
      <c r="B723" s="57"/>
    </row>
    <row r="724">
      <c r="B724" s="57"/>
    </row>
    <row r="725">
      <c r="B725" s="57"/>
    </row>
    <row r="726">
      <c r="B726" s="57"/>
    </row>
    <row r="727">
      <c r="B727" s="57"/>
    </row>
    <row r="728">
      <c r="B728" s="57"/>
    </row>
    <row r="729">
      <c r="B729" s="57"/>
    </row>
    <row r="730">
      <c r="B730" s="57"/>
    </row>
    <row r="731">
      <c r="B731" s="57"/>
    </row>
    <row r="732">
      <c r="B732" s="57"/>
    </row>
    <row r="733">
      <c r="B733" s="57"/>
    </row>
    <row r="734">
      <c r="B734" s="57"/>
    </row>
    <row r="735">
      <c r="B735" s="57"/>
    </row>
    <row r="736">
      <c r="B736" s="57"/>
    </row>
    <row r="737">
      <c r="B737" s="57"/>
    </row>
    <row r="738">
      <c r="B738" s="57"/>
    </row>
    <row r="739">
      <c r="B739" s="57"/>
    </row>
    <row r="740">
      <c r="B740" s="57"/>
    </row>
    <row r="741">
      <c r="B741" s="57"/>
    </row>
    <row r="742">
      <c r="B742" s="57"/>
    </row>
    <row r="743">
      <c r="B743" s="57"/>
    </row>
    <row r="744">
      <c r="B744" s="57"/>
    </row>
    <row r="745">
      <c r="B745" s="57"/>
    </row>
    <row r="746">
      <c r="B746" s="57"/>
    </row>
    <row r="747">
      <c r="B747" s="57"/>
    </row>
    <row r="748">
      <c r="B748" s="57"/>
    </row>
    <row r="749">
      <c r="B749" s="57"/>
    </row>
    <row r="750">
      <c r="B750" s="57"/>
    </row>
    <row r="751">
      <c r="B751" s="57"/>
    </row>
    <row r="752">
      <c r="B752" s="57"/>
    </row>
    <row r="753">
      <c r="B753" s="57"/>
    </row>
    <row r="754">
      <c r="B754" s="57"/>
    </row>
    <row r="755">
      <c r="B755" s="57"/>
    </row>
    <row r="756">
      <c r="B756" s="57"/>
    </row>
    <row r="757">
      <c r="B757" s="57"/>
    </row>
    <row r="758">
      <c r="B758" s="57"/>
    </row>
    <row r="759">
      <c r="B759" s="57"/>
    </row>
    <row r="760">
      <c r="B760" s="57"/>
    </row>
    <row r="761">
      <c r="B761" s="57"/>
    </row>
    <row r="762">
      <c r="B762" s="57"/>
    </row>
    <row r="763">
      <c r="B763" s="57"/>
    </row>
    <row r="764">
      <c r="B764" s="57"/>
    </row>
    <row r="765">
      <c r="B765" s="57"/>
    </row>
    <row r="766">
      <c r="B766" s="57"/>
    </row>
    <row r="767">
      <c r="B767" s="57"/>
    </row>
    <row r="768">
      <c r="B768" s="57"/>
    </row>
    <row r="769">
      <c r="B769" s="57"/>
    </row>
    <row r="770">
      <c r="B770" s="57"/>
    </row>
    <row r="771">
      <c r="B771" s="57"/>
    </row>
    <row r="772">
      <c r="B772" s="57"/>
    </row>
    <row r="773">
      <c r="B773" s="57"/>
    </row>
    <row r="774">
      <c r="B774" s="57"/>
    </row>
    <row r="775">
      <c r="B775" s="57"/>
    </row>
    <row r="776">
      <c r="B776" s="57"/>
    </row>
    <row r="777">
      <c r="B777" s="57"/>
    </row>
    <row r="778">
      <c r="B778" s="57"/>
    </row>
    <row r="779">
      <c r="B779" s="57"/>
    </row>
    <row r="780">
      <c r="B780" s="57"/>
    </row>
    <row r="781">
      <c r="B781" s="57"/>
    </row>
    <row r="782">
      <c r="B782" s="57"/>
    </row>
    <row r="783">
      <c r="B783" s="57"/>
    </row>
    <row r="784">
      <c r="B784" s="57"/>
    </row>
    <row r="785">
      <c r="B785" s="57"/>
    </row>
    <row r="786">
      <c r="B786" s="57"/>
    </row>
    <row r="787">
      <c r="B787" s="57"/>
    </row>
    <row r="788">
      <c r="B788" s="57"/>
    </row>
    <row r="789">
      <c r="B789" s="57"/>
    </row>
    <row r="790">
      <c r="B790" s="57"/>
    </row>
    <row r="791">
      <c r="B791" s="57"/>
    </row>
    <row r="792">
      <c r="B792" s="57"/>
    </row>
    <row r="793">
      <c r="B793" s="57"/>
    </row>
    <row r="794">
      <c r="B794" s="57"/>
    </row>
    <row r="795">
      <c r="B795" s="57"/>
    </row>
    <row r="796">
      <c r="B796" s="57"/>
    </row>
    <row r="797">
      <c r="B797" s="57"/>
    </row>
    <row r="798">
      <c r="B798" s="57"/>
    </row>
    <row r="799">
      <c r="B799" s="57"/>
    </row>
    <row r="800">
      <c r="B800" s="57"/>
    </row>
    <row r="801">
      <c r="B801" s="57"/>
    </row>
    <row r="802">
      <c r="B802" s="57"/>
    </row>
    <row r="803">
      <c r="B803" s="57"/>
    </row>
    <row r="804">
      <c r="B804" s="57"/>
    </row>
    <row r="805">
      <c r="B805" s="57"/>
    </row>
    <row r="806">
      <c r="B806" s="57"/>
    </row>
    <row r="807">
      <c r="B807" s="57"/>
    </row>
    <row r="808">
      <c r="B808" s="57"/>
    </row>
    <row r="809">
      <c r="B809" s="57"/>
    </row>
    <row r="810">
      <c r="B810" s="57"/>
    </row>
    <row r="811">
      <c r="B811" s="57"/>
    </row>
    <row r="812">
      <c r="B812" s="57"/>
    </row>
    <row r="813">
      <c r="B813" s="57"/>
    </row>
    <row r="814">
      <c r="B814" s="57"/>
    </row>
    <row r="815">
      <c r="B815" s="57"/>
    </row>
    <row r="816">
      <c r="B816" s="57"/>
    </row>
    <row r="817">
      <c r="B817" s="57"/>
    </row>
    <row r="818">
      <c r="B818" s="57"/>
    </row>
    <row r="819">
      <c r="B819" s="57"/>
    </row>
    <row r="820">
      <c r="B820" s="57"/>
    </row>
    <row r="821">
      <c r="B821" s="57"/>
    </row>
    <row r="822">
      <c r="B822" s="57"/>
    </row>
    <row r="823">
      <c r="B823" s="57"/>
    </row>
    <row r="824">
      <c r="B824" s="57"/>
    </row>
    <row r="825">
      <c r="B825" s="57"/>
    </row>
    <row r="826">
      <c r="B826" s="57"/>
    </row>
    <row r="827">
      <c r="B827" s="57"/>
    </row>
    <row r="828">
      <c r="B828" s="57"/>
    </row>
    <row r="829">
      <c r="B829" s="57"/>
    </row>
    <row r="830">
      <c r="B830" s="57"/>
    </row>
    <row r="831">
      <c r="B831" s="57"/>
    </row>
    <row r="832">
      <c r="B832" s="57"/>
    </row>
    <row r="833">
      <c r="B833" s="57"/>
    </row>
    <row r="834">
      <c r="B834" s="57"/>
    </row>
    <row r="835">
      <c r="B835" s="57"/>
    </row>
    <row r="836">
      <c r="B836" s="57"/>
    </row>
    <row r="837">
      <c r="B837" s="57"/>
    </row>
    <row r="838">
      <c r="B838" s="57"/>
    </row>
    <row r="839">
      <c r="B839" s="57"/>
    </row>
    <row r="840">
      <c r="B840" s="57"/>
    </row>
    <row r="841">
      <c r="B841" s="57"/>
    </row>
    <row r="842">
      <c r="B842" s="57"/>
    </row>
    <row r="843">
      <c r="B843" s="57"/>
    </row>
    <row r="844">
      <c r="B844" s="57"/>
    </row>
    <row r="845">
      <c r="B845" s="57"/>
    </row>
    <row r="846">
      <c r="B846" s="57"/>
    </row>
    <row r="847">
      <c r="B847" s="57"/>
    </row>
    <row r="848">
      <c r="B848" s="57"/>
    </row>
    <row r="849">
      <c r="B849" s="57"/>
    </row>
    <row r="850">
      <c r="B850" s="57"/>
    </row>
    <row r="851">
      <c r="B851" s="57"/>
    </row>
    <row r="852">
      <c r="B852" s="57"/>
    </row>
    <row r="853">
      <c r="B853" s="57"/>
    </row>
    <row r="854">
      <c r="B854" s="57"/>
    </row>
    <row r="855">
      <c r="B855" s="57"/>
    </row>
    <row r="856">
      <c r="B856" s="57"/>
    </row>
    <row r="857">
      <c r="B857" s="57"/>
    </row>
    <row r="858">
      <c r="B858" s="57"/>
    </row>
    <row r="859">
      <c r="B859" s="57"/>
    </row>
    <row r="860">
      <c r="B860" s="57"/>
    </row>
    <row r="861">
      <c r="B861" s="57"/>
    </row>
    <row r="862">
      <c r="B862" s="57"/>
    </row>
    <row r="863">
      <c r="B863" s="57"/>
    </row>
    <row r="864">
      <c r="B864" s="57"/>
    </row>
    <row r="865">
      <c r="B865" s="57"/>
    </row>
    <row r="866">
      <c r="B866" s="57"/>
    </row>
    <row r="867">
      <c r="B867" s="57"/>
    </row>
    <row r="868">
      <c r="B868" s="57"/>
    </row>
    <row r="869">
      <c r="B869" s="57"/>
    </row>
    <row r="870">
      <c r="B870" s="57"/>
    </row>
    <row r="871">
      <c r="B871" s="57"/>
    </row>
    <row r="872">
      <c r="B872" s="57"/>
    </row>
    <row r="873">
      <c r="B873" s="57"/>
    </row>
    <row r="874">
      <c r="B874" s="57"/>
    </row>
    <row r="875">
      <c r="B875" s="57"/>
    </row>
    <row r="876">
      <c r="B876" s="57"/>
    </row>
    <row r="877">
      <c r="B877" s="57"/>
    </row>
    <row r="878">
      <c r="B878" s="57"/>
    </row>
    <row r="879">
      <c r="B879" s="57"/>
    </row>
    <row r="880">
      <c r="B880" s="57"/>
    </row>
    <row r="881">
      <c r="B881" s="57"/>
    </row>
    <row r="882">
      <c r="B882" s="57"/>
    </row>
    <row r="883">
      <c r="B883" s="57"/>
    </row>
    <row r="884">
      <c r="B884" s="57"/>
    </row>
    <row r="885">
      <c r="B885" s="57"/>
    </row>
    <row r="886">
      <c r="B886" s="57"/>
    </row>
    <row r="887">
      <c r="B887" s="57"/>
    </row>
    <row r="888">
      <c r="B888" s="57"/>
    </row>
    <row r="889">
      <c r="B889" s="57"/>
    </row>
    <row r="890">
      <c r="B890" s="57"/>
    </row>
    <row r="891">
      <c r="B891" s="57"/>
    </row>
    <row r="892">
      <c r="B892" s="57"/>
    </row>
    <row r="893">
      <c r="B893" s="57"/>
    </row>
    <row r="894">
      <c r="B894" s="57"/>
    </row>
    <row r="895">
      <c r="B895" s="57"/>
    </row>
    <row r="896">
      <c r="B896" s="57"/>
    </row>
    <row r="897">
      <c r="B897" s="57"/>
    </row>
    <row r="898">
      <c r="B898" s="57"/>
    </row>
    <row r="899">
      <c r="B899" s="57"/>
    </row>
    <row r="900">
      <c r="B900" s="57"/>
    </row>
    <row r="901">
      <c r="B901" s="57"/>
    </row>
    <row r="902">
      <c r="B902" s="57"/>
    </row>
    <row r="903">
      <c r="B903" s="57"/>
    </row>
    <row r="904">
      <c r="B904" s="57"/>
    </row>
    <row r="905">
      <c r="B905" s="57"/>
    </row>
    <row r="906">
      <c r="B906" s="57"/>
    </row>
    <row r="907">
      <c r="B907" s="57"/>
    </row>
    <row r="908">
      <c r="B908" s="57"/>
    </row>
    <row r="909">
      <c r="B909" s="57"/>
    </row>
    <row r="910">
      <c r="B910" s="57"/>
    </row>
    <row r="911">
      <c r="B911" s="57"/>
    </row>
    <row r="912">
      <c r="B912" s="57"/>
    </row>
    <row r="913">
      <c r="B913" s="57"/>
    </row>
    <row r="914">
      <c r="B914" s="57"/>
    </row>
    <row r="915">
      <c r="B915" s="57"/>
    </row>
    <row r="916">
      <c r="B916" s="57"/>
    </row>
    <row r="917">
      <c r="B917" s="57"/>
    </row>
    <row r="918">
      <c r="B918" s="57"/>
    </row>
    <row r="919">
      <c r="B919" s="57"/>
    </row>
    <row r="920">
      <c r="B920" s="57"/>
    </row>
    <row r="921">
      <c r="B921" s="57"/>
    </row>
    <row r="922">
      <c r="B922" s="57"/>
    </row>
    <row r="923">
      <c r="B923" s="57"/>
    </row>
    <row r="924">
      <c r="B924" s="57"/>
    </row>
    <row r="925">
      <c r="B925" s="57"/>
    </row>
    <row r="926">
      <c r="B926" s="57"/>
    </row>
    <row r="927">
      <c r="B927" s="57"/>
    </row>
    <row r="928">
      <c r="B928" s="57"/>
    </row>
    <row r="929">
      <c r="B929" s="57"/>
    </row>
    <row r="930">
      <c r="B930" s="57"/>
    </row>
    <row r="931">
      <c r="B931" s="57"/>
    </row>
    <row r="932">
      <c r="B932" s="57"/>
    </row>
    <row r="933">
      <c r="B933" s="57"/>
    </row>
    <row r="934">
      <c r="B934" s="57"/>
    </row>
    <row r="935">
      <c r="B935" s="57"/>
    </row>
    <row r="936">
      <c r="B936" s="57"/>
    </row>
    <row r="937">
      <c r="B937" s="57"/>
    </row>
    <row r="938">
      <c r="B938" s="57"/>
    </row>
    <row r="939">
      <c r="B939" s="57"/>
    </row>
    <row r="940">
      <c r="B940" s="57"/>
    </row>
    <row r="941">
      <c r="B941" s="57"/>
    </row>
    <row r="942">
      <c r="B942" s="57"/>
    </row>
    <row r="943">
      <c r="B943" s="57"/>
    </row>
    <row r="944">
      <c r="B944" s="57"/>
    </row>
    <row r="945">
      <c r="B945" s="57"/>
    </row>
    <row r="946">
      <c r="B946" s="57"/>
    </row>
    <row r="947">
      <c r="B947" s="57"/>
    </row>
    <row r="948">
      <c r="B948" s="57"/>
    </row>
    <row r="949">
      <c r="B949" s="57"/>
    </row>
    <row r="950">
      <c r="B950" s="57"/>
    </row>
    <row r="951">
      <c r="B951" s="57"/>
    </row>
    <row r="952">
      <c r="B952" s="57"/>
    </row>
    <row r="953">
      <c r="B953" s="57"/>
    </row>
    <row r="954">
      <c r="B954" s="57"/>
    </row>
    <row r="955">
      <c r="B955" s="57"/>
    </row>
    <row r="956">
      <c r="B956" s="57"/>
    </row>
    <row r="957">
      <c r="B957" s="57"/>
    </row>
    <row r="958">
      <c r="B958" s="57"/>
    </row>
    <row r="959">
      <c r="B959" s="57"/>
    </row>
    <row r="960">
      <c r="B960" s="57"/>
    </row>
    <row r="961">
      <c r="B961" s="57"/>
    </row>
    <row r="962">
      <c r="B962" s="57"/>
    </row>
    <row r="963">
      <c r="B963" s="57"/>
    </row>
    <row r="964">
      <c r="B964" s="57"/>
    </row>
    <row r="965">
      <c r="B965" s="57"/>
    </row>
    <row r="966">
      <c r="B966" s="57"/>
    </row>
    <row r="967">
      <c r="B967" s="57"/>
    </row>
    <row r="968">
      <c r="B968" s="57"/>
    </row>
    <row r="969">
      <c r="B969" s="57"/>
    </row>
    <row r="970">
      <c r="B970" s="57"/>
    </row>
    <row r="971">
      <c r="B971" s="57"/>
    </row>
    <row r="972">
      <c r="B972" s="57"/>
    </row>
    <row r="973">
      <c r="B973" s="57"/>
    </row>
    <row r="974">
      <c r="B974" s="57"/>
    </row>
    <row r="975">
      <c r="B975" s="57"/>
    </row>
    <row r="976">
      <c r="B976" s="57"/>
    </row>
    <row r="977">
      <c r="B977" s="57"/>
    </row>
    <row r="978">
      <c r="B978" s="57"/>
    </row>
    <row r="979">
      <c r="B979" s="57"/>
    </row>
    <row r="980">
      <c r="B980" s="57"/>
    </row>
    <row r="981">
      <c r="B981" s="57"/>
    </row>
    <row r="982">
      <c r="B982" s="57"/>
    </row>
    <row r="983">
      <c r="B983" s="57"/>
    </row>
    <row r="984">
      <c r="B984" s="57"/>
    </row>
    <row r="985">
      <c r="B985" s="57"/>
    </row>
    <row r="986">
      <c r="B986" s="57"/>
    </row>
    <row r="987">
      <c r="B987" s="57"/>
    </row>
    <row r="988">
      <c r="B988" s="57"/>
    </row>
    <row r="989">
      <c r="B989" s="57"/>
    </row>
    <row r="990">
      <c r="B990" s="57"/>
    </row>
    <row r="991">
      <c r="B991" s="57"/>
    </row>
    <row r="992">
      <c r="B992" s="57"/>
    </row>
    <row r="993">
      <c r="B993" s="57"/>
    </row>
    <row r="994">
      <c r="B994" s="57"/>
    </row>
    <row r="995">
      <c r="B995" s="57"/>
    </row>
    <row r="996">
      <c r="B996" s="57"/>
    </row>
    <row r="997">
      <c r="B997" s="57"/>
    </row>
    <row r="998">
      <c r="B998" s="57"/>
    </row>
    <row r="999">
      <c r="B999" s="57"/>
    </row>
    <row r="1000">
      <c r="B1000" s="57"/>
    </row>
  </sheetData>
  <mergeCells count="18">
    <mergeCell ref="A2:B3"/>
    <mergeCell ref="D2:E3"/>
    <mergeCell ref="D4:E4"/>
    <mergeCell ref="D5:E5"/>
    <mergeCell ref="D6:E6"/>
    <mergeCell ref="D7:E7"/>
    <mergeCell ref="D8:E8"/>
    <mergeCell ref="D24:E24"/>
    <mergeCell ref="E29:E41"/>
    <mergeCell ref="B41:B47"/>
    <mergeCell ref="D43:E43"/>
    <mergeCell ref="D9:E9"/>
    <mergeCell ref="D10:E10"/>
    <mergeCell ref="D12:E13"/>
    <mergeCell ref="D14:E15"/>
    <mergeCell ref="D17:E17"/>
    <mergeCell ref="A18:B18"/>
    <mergeCell ref="B19:B38"/>
  </mergeCells>
  <hyperlinks>
    <hyperlink r:id="rId1" ref="B4"/>
    <hyperlink r:id="rId2" ref="D4"/>
    <hyperlink r:id="rId3" ref="B6"/>
    <hyperlink r:id="rId4" ref="A19"/>
    <hyperlink r:id="rId5" ref="A26"/>
    <hyperlink r:id="rId6" ref="E27"/>
    <hyperlink r:id="rId7" ref="E28"/>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2" max="2" width="139.88"/>
    <col customWidth="1" min="3" max="3" width="15.88"/>
  </cols>
  <sheetData>
    <row r="1" ht="18.75" customHeight="1">
      <c r="A1" s="58" t="s">
        <v>90</v>
      </c>
      <c r="B1" s="59"/>
      <c r="C1" s="60"/>
      <c r="D1" s="61"/>
      <c r="E1" s="61"/>
      <c r="F1" s="61"/>
      <c r="G1" s="61"/>
      <c r="H1" s="61"/>
      <c r="I1" s="61"/>
      <c r="J1" s="61"/>
      <c r="K1" s="61"/>
      <c r="L1" s="61"/>
      <c r="M1" s="61"/>
      <c r="N1" s="61"/>
      <c r="O1" s="61"/>
      <c r="P1" s="61"/>
      <c r="Q1" s="61"/>
      <c r="R1" s="61"/>
      <c r="S1" s="61"/>
      <c r="T1" s="61"/>
      <c r="U1" s="61"/>
      <c r="V1" s="61"/>
      <c r="W1" s="61"/>
      <c r="X1" s="61"/>
      <c r="Y1" s="61"/>
      <c r="Z1" s="61"/>
    </row>
    <row r="2">
      <c r="A2" s="62" t="s">
        <v>91</v>
      </c>
      <c r="B2" s="63" t="s">
        <v>92</v>
      </c>
      <c r="C2" s="63" t="s">
        <v>93</v>
      </c>
      <c r="D2" s="64"/>
      <c r="E2" s="64"/>
      <c r="F2" s="64"/>
      <c r="G2" s="64"/>
      <c r="H2" s="64"/>
      <c r="I2" s="64"/>
      <c r="J2" s="64"/>
      <c r="K2" s="64"/>
      <c r="L2" s="64"/>
      <c r="M2" s="64"/>
      <c r="N2" s="64"/>
      <c r="O2" s="64"/>
      <c r="P2" s="64"/>
      <c r="Q2" s="64"/>
      <c r="R2" s="64"/>
      <c r="S2" s="64"/>
      <c r="T2" s="64"/>
      <c r="U2" s="64"/>
      <c r="V2" s="64"/>
      <c r="W2" s="64"/>
      <c r="X2" s="64"/>
      <c r="Y2" s="64"/>
      <c r="Z2" s="64"/>
    </row>
    <row r="3">
      <c r="A3" s="65">
        <v>1.0</v>
      </c>
      <c r="B3" s="66" t="s">
        <v>94</v>
      </c>
      <c r="C3" s="67" t="s">
        <v>95</v>
      </c>
      <c r="D3" s="64"/>
      <c r="E3" s="64"/>
      <c r="F3" s="64"/>
      <c r="G3" s="64"/>
      <c r="H3" s="64"/>
      <c r="I3" s="64"/>
      <c r="J3" s="64"/>
      <c r="K3" s="64"/>
      <c r="L3" s="64"/>
      <c r="M3" s="64"/>
      <c r="N3" s="64"/>
      <c r="O3" s="64"/>
      <c r="P3" s="64"/>
      <c r="Q3" s="64"/>
      <c r="R3" s="64"/>
      <c r="S3" s="64"/>
      <c r="T3" s="64"/>
      <c r="U3" s="64"/>
      <c r="V3" s="64"/>
      <c r="W3" s="64"/>
      <c r="X3" s="64"/>
      <c r="Y3" s="64"/>
      <c r="Z3" s="64"/>
    </row>
    <row r="4">
      <c r="A4" s="65">
        <v>2.0</v>
      </c>
      <c r="B4" s="66" t="s">
        <v>96</v>
      </c>
      <c r="C4" s="67" t="s">
        <v>95</v>
      </c>
      <c r="D4" s="64"/>
      <c r="E4" s="64"/>
      <c r="F4" s="64"/>
      <c r="G4" s="64"/>
      <c r="H4" s="64"/>
      <c r="I4" s="64"/>
      <c r="J4" s="64"/>
      <c r="K4" s="64"/>
      <c r="L4" s="64"/>
      <c r="M4" s="64"/>
      <c r="N4" s="64"/>
      <c r="O4" s="64"/>
      <c r="P4" s="64"/>
      <c r="Q4" s="64"/>
      <c r="R4" s="64"/>
      <c r="S4" s="64"/>
      <c r="T4" s="64"/>
      <c r="U4" s="64"/>
      <c r="V4" s="64"/>
      <c r="W4" s="64"/>
      <c r="X4" s="64"/>
      <c r="Y4" s="64"/>
      <c r="Z4" s="64"/>
    </row>
    <row r="5">
      <c r="A5" s="68"/>
      <c r="B5" s="69"/>
      <c r="C5" s="69"/>
      <c r="D5" s="64"/>
      <c r="E5" s="64"/>
      <c r="F5" s="64"/>
      <c r="G5" s="64"/>
      <c r="H5" s="64"/>
      <c r="I5" s="64"/>
      <c r="J5" s="64"/>
      <c r="K5" s="64"/>
      <c r="L5" s="64"/>
      <c r="M5" s="64"/>
      <c r="N5" s="64"/>
      <c r="O5" s="64"/>
      <c r="P5" s="64"/>
      <c r="Q5" s="64"/>
      <c r="R5" s="64"/>
      <c r="S5" s="64"/>
      <c r="T5" s="64"/>
      <c r="U5" s="64"/>
      <c r="V5" s="64"/>
      <c r="W5" s="64"/>
      <c r="X5" s="64"/>
      <c r="Y5" s="64"/>
      <c r="Z5" s="64"/>
    </row>
    <row r="6" ht="16.5" customHeight="1">
      <c r="A6" s="58" t="s">
        <v>97</v>
      </c>
      <c r="B6" s="59"/>
      <c r="C6" s="60"/>
      <c r="D6" s="61"/>
      <c r="E6" s="61"/>
      <c r="F6" s="61"/>
      <c r="G6" s="61"/>
      <c r="H6" s="61"/>
      <c r="I6" s="61"/>
      <c r="J6" s="61"/>
      <c r="K6" s="61"/>
      <c r="L6" s="61"/>
      <c r="M6" s="61"/>
      <c r="N6" s="61"/>
      <c r="O6" s="61"/>
      <c r="P6" s="61"/>
      <c r="Q6" s="61"/>
      <c r="R6" s="61"/>
      <c r="S6" s="61"/>
      <c r="T6" s="61"/>
      <c r="U6" s="61"/>
      <c r="V6" s="61"/>
      <c r="W6" s="61"/>
      <c r="X6" s="61"/>
      <c r="Y6" s="61"/>
      <c r="Z6" s="61"/>
    </row>
    <row r="7">
      <c r="A7" s="62" t="s">
        <v>91</v>
      </c>
      <c r="B7" s="63" t="s">
        <v>92</v>
      </c>
      <c r="C7" s="63" t="s">
        <v>93</v>
      </c>
      <c r="D7" s="64"/>
      <c r="E7" s="64"/>
      <c r="F7" s="64"/>
      <c r="G7" s="64"/>
      <c r="H7" s="64"/>
      <c r="I7" s="64"/>
      <c r="J7" s="64"/>
      <c r="K7" s="64"/>
      <c r="L7" s="64"/>
      <c r="M7" s="64"/>
      <c r="N7" s="64"/>
      <c r="O7" s="64"/>
      <c r="P7" s="64"/>
      <c r="Q7" s="64"/>
      <c r="R7" s="64"/>
      <c r="S7" s="64"/>
      <c r="T7" s="64"/>
      <c r="U7" s="64"/>
      <c r="V7" s="64"/>
      <c r="W7" s="64"/>
      <c r="X7" s="64"/>
      <c r="Y7" s="64"/>
      <c r="Z7" s="64"/>
    </row>
    <row r="8">
      <c r="A8" s="65">
        <v>1.0</v>
      </c>
      <c r="B8" s="66" t="s">
        <v>98</v>
      </c>
      <c r="C8" s="67" t="s">
        <v>75</v>
      </c>
      <c r="D8" s="64"/>
      <c r="E8" s="64"/>
      <c r="F8" s="64"/>
      <c r="G8" s="64"/>
      <c r="H8" s="64"/>
      <c r="I8" s="64"/>
      <c r="J8" s="64"/>
      <c r="K8" s="64"/>
      <c r="L8" s="64"/>
      <c r="M8" s="64"/>
      <c r="N8" s="64"/>
      <c r="O8" s="64"/>
      <c r="P8" s="64"/>
      <c r="Q8" s="64"/>
      <c r="R8" s="64"/>
      <c r="S8" s="64"/>
      <c r="T8" s="64"/>
      <c r="U8" s="64"/>
      <c r="V8" s="64"/>
      <c r="W8" s="64"/>
      <c r="X8" s="64"/>
      <c r="Y8" s="64"/>
      <c r="Z8" s="64"/>
    </row>
    <row r="9">
      <c r="A9" s="65">
        <v>2.0</v>
      </c>
      <c r="B9" s="66" t="s">
        <v>99</v>
      </c>
      <c r="C9" s="67" t="s">
        <v>75</v>
      </c>
      <c r="D9" s="64"/>
      <c r="E9" s="64"/>
      <c r="F9" s="64"/>
      <c r="G9" s="64"/>
      <c r="H9" s="64"/>
      <c r="I9" s="64"/>
      <c r="J9" s="64"/>
      <c r="K9" s="64"/>
      <c r="L9" s="64"/>
      <c r="M9" s="64"/>
      <c r="N9" s="64"/>
      <c r="O9" s="64"/>
      <c r="P9" s="64"/>
      <c r="Q9" s="64"/>
      <c r="R9" s="64"/>
      <c r="S9" s="64"/>
      <c r="T9" s="64"/>
      <c r="U9" s="64"/>
      <c r="V9" s="64"/>
      <c r="W9" s="64"/>
      <c r="X9" s="64"/>
      <c r="Y9" s="64"/>
      <c r="Z9" s="64"/>
    </row>
    <row r="10">
      <c r="A10" s="65">
        <v>3.0</v>
      </c>
      <c r="B10" s="66" t="s">
        <v>100</v>
      </c>
      <c r="C10" s="67" t="s">
        <v>75</v>
      </c>
      <c r="D10" s="64"/>
      <c r="E10" s="64"/>
      <c r="F10" s="64"/>
      <c r="G10" s="64"/>
      <c r="H10" s="64"/>
      <c r="I10" s="64"/>
      <c r="J10" s="64"/>
      <c r="K10" s="64"/>
      <c r="L10" s="64"/>
      <c r="M10" s="64"/>
      <c r="N10" s="64"/>
      <c r="O10" s="64"/>
      <c r="P10" s="64"/>
      <c r="Q10" s="64"/>
      <c r="R10" s="64"/>
      <c r="S10" s="64"/>
      <c r="T10" s="64"/>
      <c r="U10" s="64"/>
      <c r="V10" s="64"/>
      <c r="W10" s="64"/>
      <c r="X10" s="64"/>
      <c r="Y10" s="64"/>
      <c r="Z10" s="64"/>
    </row>
    <row r="11">
      <c r="A11" s="65">
        <v>4.0</v>
      </c>
      <c r="B11" s="66" t="s">
        <v>101</v>
      </c>
      <c r="C11" s="67" t="s">
        <v>75</v>
      </c>
      <c r="D11" s="64"/>
      <c r="E11" s="64"/>
      <c r="F11" s="64"/>
      <c r="G11" s="64"/>
      <c r="H11" s="64"/>
      <c r="I11" s="64"/>
      <c r="J11" s="64"/>
      <c r="K11" s="64"/>
      <c r="L11" s="64"/>
      <c r="M11" s="64"/>
      <c r="N11" s="64"/>
      <c r="O11" s="64"/>
      <c r="P11" s="64"/>
      <c r="Q11" s="64"/>
      <c r="R11" s="64"/>
      <c r="S11" s="64"/>
      <c r="T11" s="64"/>
      <c r="U11" s="64"/>
      <c r="V11" s="64"/>
      <c r="W11" s="64"/>
      <c r="X11" s="64"/>
      <c r="Y11" s="64"/>
      <c r="Z11" s="64"/>
    </row>
    <row r="12">
      <c r="A12" s="65">
        <v>5.0</v>
      </c>
      <c r="B12" s="66" t="s">
        <v>102</v>
      </c>
      <c r="C12" s="67" t="s">
        <v>75</v>
      </c>
      <c r="D12" s="64"/>
      <c r="E12" s="64"/>
      <c r="F12" s="64"/>
      <c r="G12" s="64"/>
      <c r="H12" s="64"/>
      <c r="I12" s="64"/>
      <c r="J12" s="64"/>
      <c r="K12" s="64"/>
      <c r="L12" s="64"/>
      <c r="M12" s="64"/>
      <c r="N12" s="64"/>
      <c r="O12" s="64"/>
      <c r="P12" s="64"/>
      <c r="Q12" s="64"/>
      <c r="R12" s="64"/>
      <c r="S12" s="64"/>
      <c r="T12" s="64"/>
      <c r="U12" s="64"/>
      <c r="V12" s="64"/>
      <c r="W12" s="64"/>
      <c r="X12" s="64"/>
      <c r="Y12" s="64"/>
      <c r="Z12" s="64"/>
    </row>
    <row r="13">
      <c r="A13" s="65">
        <v>6.0</v>
      </c>
      <c r="B13" s="66" t="s">
        <v>82</v>
      </c>
      <c r="C13" s="67" t="s">
        <v>75</v>
      </c>
      <c r="D13" s="64"/>
      <c r="E13" s="64"/>
      <c r="F13" s="64"/>
      <c r="G13" s="64"/>
      <c r="H13" s="64"/>
      <c r="I13" s="64"/>
      <c r="J13" s="64"/>
      <c r="K13" s="64"/>
      <c r="L13" s="64"/>
      <c r="M13" s="64"/>
      <c r="N13" s="64"/>
      <c r="O13" s="64"/>
      <c r="P13" s="64"/>
      <c r="Q13" s="64"/>
      <c r="R13" s="64"/>
      <c r="S13" s="64"/>
      <c r="T13" s="64"/>
      <c r="U13" s="64"/>
      <c r="V13" s="64"/>
      <c r="W13" s="64"/>
      <c r="X13" s="64"/>
      <c r="Y13" s="64"/>
      <c r="Z13" s="64"/>
    </row>
    <row r="14">
      <c r="A14" s="65">
        <v>7.0</v>
      </c>
      <c r="B14" s="66" t="s">
        <v>103</v>
      </c>
      <c r="C14" s="67" t="s">
        <v>75</v>
      </c>
      <c r="D14" s="64"/>
      <c r="E14" s="64"/>
      <c r="F14" s="64"/>
      <c r="G14" s="64"/>
      <c r="H14" s="64"/>
      <c r="I14" s="64"/>
      <c r="J14" s="64"/>
      <c r="K14" s="64"/>
      <c r="L14" s="64"/>
      <c r="M14" s="64"/>
      <c r="N14" s="64"/>
      <c r="O14" s="64"/>
      <c r="P14" s="64"/>
      <c r="Q14" s="64"/>
      <c r="R14" s="64"/>
      <c r="S14" s="64"/>
      <c r="T14" s="64"/>
      <c r="U14" s="64"/>
      <c r="V14" s="64"/>
      <c r="W14" s="64"/>
      <c r="X14" s="64"/>
      <c r="Y14" s="64"/>
      <c r="Z14" s="64"/>
    </row>
    <row r="15">
      <c r="A15" s="65">
        <v>8.0</v>
      </c>
      <c r="B15" s="66" t="s">
        <v>84</v>
      </c>
      <c r="C15" s="67" t="s">
        <v>75</v>
      </c>
      <c r="D15" s="64"/>
      <c r="E15" s="64"/>
      <c r="F15" s="64"/>
      <c r="G15" s="64"/>
      <c r="H15" s="64"/>
      <c r="I15" s="64"/>
      <c r="J15" s="64"/>
      <c r="K15" s="64"/>
      <c r="L15" s="64"/>
      <c r="M15" s="64"/>
      <c r="N15" s="64"/>
      <c r="O15" s="64"/>
      <c r="P15" s="64"/>
      <c r="Q15" s="64"/>
      <c r="R15" s="64"/>
      <c r="S15" s="64"/>
      <c r="T15" s="64"/>
      <c r="U15" s="64"/>
      <c r="V15" s="64"/>
      <c r="W15" s="64"/>
      <c r="X15" s="64"/>
      <c r="Y15" s="64"/>
      <c r="Z15" s="64"/>
    </row>
    <row r="16">
      <c r="A16" s="65">
        <v>9.0</v>
      </c>
      <c r="B16" s="66" t="s">
        <v>104</v>
      </c>
      <c r="C16" s="67" t="s">
        <v>75</v>
      </c>
      <c r="D16" s="64"/>
      <c r="E16" s="64"/>
      <c r="F16" s="64"/>
      <c r="G16" s="64"/>
      <c r="H16" s="64"/>
      <c r="I16" s="64"/>
      <c r="J16" s="64"/>
      <c r="K16" s="64"/>
      <c r="L16" s="64"/>
      <c r="M16" s="64"/>
      <c r="N16" s="64"/>
      <c r="O16" s="64"/>
      <c r="P16" s="64"/>
      <c r="Q16" s="64"/>
      <c r="R16" s="64"/>
      <c r="S16" s="64"/>
      <c r="T16" s="64"/>
      <c r="U16" s="64"/>
      <c r="V16" s="64"/>
      <c r="W16" s="64"/>
      <c r="X16" s="64"/>
      <c r="Y16" s="64"/>
      <c r="Z16" s="64"/>
    </row>
    <row r="17">
      <c r="A17" s="65">
        <v>10.0</v>
      </c>
      <c r="B17" s="66" t="s">
        <v>105</v>
      </c>
      <c r="C17" s="67" t="s">
        <v>75</v>
      </c>
      <c r="D17" s="64"/>
      <c r="E17" s="64"/>
      <c r="F17" s="64"/>
      <c r="G17" s="64"/>
      <c r="H17" s="64"/>
      <c r="I17" s="64"/>
      <c r="J17" s="64"/>
      <c r="K17" s="64"/>
      <c r="L17" s="64"/>
      <c r="M17" s="64"/>
      <c r="N17" s="64"/>
      <c r="O17" s="64"/>
      <c r="P17" s="64"/>
      <c r="Q17" s="64"/>
      <c r="R17" s="64"/>
      <c r="S17" s="64"/>
      <c r="T17" s="64"/>
      <c r="U17" s="64"/>
      <c r="V17" s="64"/>
      <c r="W17" s="64"/>
      <c r="X17" s="64"/>
      <c r="Y17" s="64"/>
      <c r="Z17" s="64"/>
    </row>
    <row r="18">
      <c r="A18" s="65">
        <v>11.0</v>
      </c>
      <c r="B18" s="66" t="s">
        <v>106</v>
      </c>
      <c r="C18" s="67" t="s">
        <v>107</v>
      </c>
      <c r="D18" s="64"/>
      <c r="E18" s="64"/>
      <c r="F18" s="64"/>
      <c r="G18" s="64"/>
      <c r="H18" s="64"/>
      <c r="I18" s="64"/>
      <c r="J18" s="64"/>
      <c r="K18" s="64"/>
      <c r="L18" s="64"/>
      <c r="M18" s="64"/>
      <c r="N18" s="64"/>
      <c r="O18" s="64"/>
      <c r="P18" s="64"/>
      <c r="Q18" s="64"/>
      <c r="R18" s="64"/>
      <c r="S18" s="64"/>
      <c r="T18" s="64"/>
      <c r="U18" s="64"/>
      <c r="V18" s="64"/>
      <c r="W18" s="64"/>
      <c r="X18" s="64"/>
      <c r="Y18" s="64"/>
      <c r="Z18" s="64"/>
    </row>
    <row r="19">
      <c r="A19" s="68"/>
      <c r="B19" s="69"/>
      <c r="C19" s="69"/>
      <c r="D19" s="64"/>
      <c r="E19" s="64"/>
      <c r="F19" s="64"/>
      <c r="G19" s="64"/>
      <c r="H19" s="64"/>
      <c r="I19" s="64"/>
      <c r="J19" s="64"/>
      <c r="K19" s="64"/>
      <c r="L19" s="64"/>
      <c r="M19" s="64"/>
      <c r="N19" s="64"/>
      <c r="O19" s="64"/>
      <c r="P19" s="64"/>
      <c r="Q19" s="64"/>
      <c r="R19" s="64"/>
      <c r="S19" s="64"/>
      <c r="T19" s="64"/>
      <c r="U19" s="64"/>
      <c r="V19" s="64"/>
      <c r="W19" s="64"/>
      <c r="X19" s="64"/>
      <c r="Y19" s="64"/>
      <c r="Z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5.75" customHeight="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ht="15.75" customHeight="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ht="15.75" customHeight="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15.75" customHeight="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15.75"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15.75"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15.7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15.75"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5.7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5.7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5.7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5.7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5.7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5.7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5.7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5.7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5.7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5.7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5.7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5.7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5.7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5.7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5.7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5.7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5.7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5.7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5.7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5.7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5.7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5.7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5.7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5.7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5.7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5.7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5.7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5.7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5.7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5.7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5.7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5.7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5.7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5.7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5.7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5.7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5.7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5.7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5.7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5.7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5.7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5.7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5.7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5.7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5.7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5.7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5.7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5.7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5.7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5.7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5.7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5.7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5.7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5.7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5.7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5.7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5.7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5.7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5.7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5.7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5.7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5.7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5.7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5.7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5.7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5.7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5.7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5.7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5.7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5.7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5.7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5.7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5.7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5.7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5.7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5.7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5.7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5.7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5.7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5.7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5.7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5.7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5.7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5.7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5.7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5.7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5.7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5.7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5.7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5.7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5.7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5.7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5.7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5.7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5.7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5.7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5.7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5.7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5.7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5.7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5.7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5.7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5.7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5.7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5.7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5.7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5.7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5.7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5.7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5.7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5.7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5.7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5.7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5.7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5.7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5.7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5.7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5.7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5.7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5.7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5.7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5.7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5.7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5.7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5.7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5.7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5.7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5.7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5.7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5.7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5.7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5.7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5.7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5.7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5.7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5.7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5.7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5.7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5.7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5.7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5.7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5.7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5.7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5.7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5.7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5.7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5.7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5.7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5.7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5.7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5.7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5.7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5.7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5.7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5.7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5.7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5.7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5.7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5.7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5.7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5.7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5.7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5.7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5.7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5.7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5.7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5.7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5.7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5.7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5.7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5.7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5.7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5.7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5.7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5.7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5.7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5.7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5.7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5.7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5.7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5.7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5.7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5.7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5.7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5.7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5.7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5.7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5.7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5.7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5.7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5.7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5.7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6:C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75"/>
    <col customWidth="1" min="2" max="2" width="73.38"/>
    <col customWidth="1" min="3" max="3" width="27.38"/>
    <col customWidth="1" min="4" max="4" width="64.5"/>
  </cols>
  <sheetData>
    <row r="1">
      <c r="A1" s="70" t="s">
        <v>108</v>
      </c>
      <c r="B1" s="71" t="s">
        <v>109</v>
      </c>
      <c r="C1" s="72" t="s">
        <v>110</v>
      </c>
      <c r="D1" s="73" t="s">
        <v>111</v>
      </c>
    </row>
    <row r="2">
      <c r="A2" s="74"/>
      <c r="B2" s="75" t="s">
        <v>112</v>
      </c>
      <c r="C2" s="76"/>
      <c r="D2" s="77"/>
    </row>
    <row r="3">
      <c r="A3" s="78">
        <v>1.1</v>
      </c>
      <c r="B3" s="79" t="s">
        <v>113</v>
      </c>
      <c r="C3" s="79"/>
      <c r="D3" s="80"/>
    </row>
    <row r="4">
      <c r="A4" s="81">
        <v>1.2</v>
      </c>
      <c r="B4" s="82" t="s">
        <v>114</v>
      </c>
      <c r="C4" s="82"/>
      <c r="D4" s="83"/>
    </row>
    <row r="5">
      <c r="A5" s="78">
        <v>1.3</v>
      </c>
      <c r="B5" s="79" t="s">
        <v>115</v>
      </c>
      <c r="C5" s="79"/>
      <c r="D5" s="80" t="s">
        <v>116</v>
      </c>
    </row>
    <row r="6">
      <c r="A6" s="81">
        <v>1.4</v>
      </c>
      <c r="B6" s="82" t="s">
        <v>117</v>
      </c>
      <c r="C6" s="82"/>
      <c r="D6" s="83" t="s">
        <v>118</v>
      </c>
    </row>
    <row r="7">
      <c r="A7" s="78">
        <v>1.5</v>
      </c>
      <c r="B7" s="79" t="s">
        <v>119</v>
      </c>
      <c r="C7" s="79"/>
      <c r="D7" s="80" t="s">
        <v>120</v>
      </c>
    </row>
    <row r="8">
      <c r="A8" s="81">
        <v>1.6</v>
      </c>
      <c r="B8" s="82" t="s">
        <v>121</v>
      </c>
      <c r="C8" s="82"/>
      <c r="D8" s="83" t="s">
        <v>122</v>
      </c>
    </row>
    <row r="9">
      <c r="A9" s="78">
        <v>1.7</v>
      </c>
      <c r="B9" s="79" t="s">
        <v>123</v>
      </c>
      <c r="C9" s="79"/>
      <c r="D9" s="80"/>
    </row>
    <row r="10">
      <c r="A10" s="81">
        <v>1.8</v>
      </c>
      <c r="B10" s="82" t="s">
        <v>124</v>
      </c>
      <c r="C10" s="82"/>
      <c r="D10" s="83"/>
    </row>
    <row r="11">
      <c r="A11" s="78">
        <v>1.9</v>
      </c>
      <c r="B11" s="79" t="s">
        <v>125</v>
      </c>
      <c r="C11" s="79"/>
      <c r="D11" s="80"/>
    </row>
    <row r="12">
      <c r="A12" s="84" t="s">
        <v>126</v>
      </c>
      <c r="B12" s="82" t="s">
        <v>127</v>
      </c>
      <c r="C12" s="82"/>
      <c r="D12" s="83"/>
    </row>
    <row r="13">
      <c r="A13" s="78">
        <v>1.11</v>
      </c>
      <c r="B13" s="79" t="s">
        <v>128</v>
      </c>
      <c r="C13" s="79"/>
      <c r="D13" s="80"/>
    </row>
    <row r="14">
      <c r="A14" s="81">
        <v>1.12</v>
      </c>
      <c r="B14" s="82" t="s">
        <v>129</v>
      </c>
      <c r="C14" s="82"/>
      <c r="D14" s="83"/>
    </row>
    <row r="15">
      <c r="A15" s="78">
        <v>1.13</v>
      </c>
      <c r="B15" s="79" t="s">
        <v>130</v>
      </c>
      <c r="C15" s="79"/>
      <c r="D15" s="85"/>
    </row>
    <row r="16">
      <c r="A16" s="81"/>
      <c r="B16" s="82"/>
      <c r="C16" s="82"/>
      <c r="D16" s="86"/>
    </row>
    <row r="17">
      <c r="A17" s="87"/>
      <c r="B17" s="88" t="s">
        <v>131</v>
      </c>
      <c r="C17" s="89"/>
      <c r="D17" s="90"/>
    </row>
    <row r="18">
      <c r="A18" s="81">
        <v>2.1</v>
      </c>
      <c r="B18" s="82" t="s">
        <v>132</v>
      </c>
      <c r="C18" s="82"/>
      <c r="D18" s="83"/>
    </row>
    <row r="19">
      <c r="A19" s="78">
        <v>2.2</v>
      </c>
      <c r="B19" s="79" t="s">
        <v>133</v>
      </c>
      <c r="C19" s="79"/>
      <c r="D19" s="80"/>
    </row>
    <row r="20">
      <c r="A20" s="81">
        <v>2.3</v>
      </c>
      <c r="B20" s="82" t="s">
        <v>134</v>
      </c>
      <c r="C20" s="82"/>
      <c r="D20" s="83"/>
    </row>
    <row r="21" ht="15.75" customHeight="1">
      <c r="A21" s="78">
        <v>2.4</v>
      </c>
      <c r="B21" s="79" t="s">
        <v>135</v>
      </c>
      <c r="C21" s="79"/>
      <c r="D21" s="80"/>
    </row>
    <row r="22" ht="15.75" customHeight="1">
      <c r="A22" s="81">
        <v>2.5</v>
      </c>
      <c r="B22" s="82" t="s">
        <v>136</v>
      </c>
      <c r="C22" s="82"/>
      <c r="D22" s="83"/>
    </row>
    <row r="23" ht="15.75" customHeight="1">
      <c r="A23" s="78">
        <v>2.6</v>
      </c>
      <c r="B23" s="79" t="s">
        <v>137</v>
      </c>
      <c r="C23" s="79"/>
      <c r="D23" s="80"/>
    </row>
    <row r="24" ht="15.75" customHeight="1">
      <c r="A24" s="81">
        <v>2.7</v>
      </c>
      <c r="B24" s="82" t="s">
        <v>138</v>
      </c>
      <c r="C24" s="82"/>
      <c r="D24" s="83"/>
    </row>
    <row r="25" ht="15.75" customHeight="1">
      <c r="A25" s="78">
        <v>2.8</v>
      </c>
      <c r="B25" s="79" t="s">
        <v>139</v>
      </c>
      <c r="C25" s="79"/>
      <c r="D25" s="80"/>
    </row>
    <row r="26" ht="15.75" customHeight="1">
      <c r="A26" s="81"/>
      <c r="B26" s="82"/>
      <c r="C26" s="82"/>
      <c r="D26" s="86"/>
    </row>
    <row r="27" ht="15.75" customHeight="1">
      <c r="A27" s="87"/>
      <c r="B27" s="88" t="s">
        <v>140</v>
      </c>
      <c r="C27" s="89"/>
      <c r="D27" s="90"/>
    </row>
    <row r="28" ht="15.75" customHeight="1">
      <c r="A28" s="81">
        <v>3.1</v>
      </c>
      <c r="B28" s="82" t="s">
        <v>141</v>
      </c>
      <c r="C28" s="82"/>
      <c r="D28" s="83"/>
    </row>
    <row r="29" ht="15.75" customHeight="1">
      <c r="A29" s="78">
        <v>3.2</v>
      </c>
      <c r="B29" s="79" t="s">
        <v>142</v>
      </c>
      <c r="C29" s="79"/>
      <c r="D29" s="80"/>
    </row>
    <row r="30" ht="15.75" customHeight="1">
      <c r="A30" s="81">
        <v>3.3</v>
      </c>
      <c r="B30" s="82" t="s">
        <v>143</v>
      </c>
      <c r="C30" s="82"/>
      <c r="D30" s="83"/>
    </row>
    <row r="31" ht="15.75" customHeight="1">
      <c r="A31" s="78">
        <v>3.4</v>
      </c>
      <c r="B31" s="79" t="s">
        <v>144</v>
      </c>
      <c r="C31" s="79"/>
      <c r="D31" s="80"/>
    </row>
    <row r="32" ht="15.75" customHeight="1">
      <c r="A32" s="81">
        <v>3.5</v>
      </c>
      <c r="B32" s="82" t="s">
        <v>145</v>
      </c>
      <c r="C32" s="82"/>
      <c r="D32" s="83"/>
    </row>
    <row r="33" ht="15.75" customHeight="1">
      <c r="A33" s="78">
        <v>3.6</v>
      </c>
      <c r="B33" s="79" t="s">
        <v>146</v>
      </c>
      <c r="C33" s="79"/>
      <c r="D33" s="80"/>
    </row>
    <row r="34" ht="15.75" customHeight="1">
      <c r="A34" s="81">
        <v>3.7</v>
      </c>
      <c r="B34" s="82" t="s">
        <v>147</v>
      </c>
      <c r="C34" s="82"/>
      <c r="D34" s="83"/>
    </row>
    <row r="35" ht="15.75" customHeight="1">
      <c r="A35" s="91">
        <v>3.8</v>
      </c>
      <c r="B35" s="79" t="s">
        <v>148</v>
      </c>
      <c r="C35" s="79"/>
      <c r="D35" s="80"/>
    </row>
    <row r="36" ht="15.75" customHeight="1">
      <c r="A36" s="92">
        <v>3.9</v>
      </c>
      <c r="B36" s="82" t="s">
        <v>149</v>
      </c>
      <c r="C36" s="82"/>
      <c r="D36" s="83"/>
    </row>
    <row r="37" ht="15.75" customHeight="1">
      <c r="A37" s="93" t="s">
        <v>150</v>
      </c>
      <c r="B37" s="79" t="s">
        <v>151</v>
      </c>
      <c r="C37" s="79"/>
      <c r="D37" s="80"/>
    </row>
    <row r="38" ht="15.75" customHeight="1">
      <c r="A38" s="92">
        <v>3.11</v>
      </c>
      <c r="B38" s="82" t="s">
        <v>152</v>
      </c>
      <c r="C38" s="82"/>
      <c r="D38" s="83"/>
    </row>
    <row r="39" ht="15.75" customHeight="1">
      <c r="A39" s="78">
        <v>3.12</v>
      </c>
      <c r="B39" s="79" t="s">
        <v>153</v>
      </c>
      <c r="C39" s="79"/>
      <c r="D39" s="80"/>
    </row>
    <row r="40" ht="15.75" customHeight="1">
      <c r="A40" s="81"/>
      <c r="B40" s="82"/>
      <c r="C40" s="82"/>
      <c r="D40" s="86"/>
    </row>
    <row r="41" ht="15.75" customHeight="1">
      <c r="A41" s="87"/>
      <c r="B41" s="88" t="s">
        <v>154</v>
      </c>
      <c r="C41" s="89"/>
      <c r="D41" s="90"/>
    </row>
    <row r="42" ht="15.75" customHeight="1">
      <c r="A42" s="81">
        <v>4.1</v>
      </c>
      <c r="B42" s="82" t="s">
        <v>155</v>
      </c>
      <c r="C42" s="82"/>
      <c r="D42" s="83"/>
    </row>
    <row r="43" ht="15.75" customHeight="1">
      <c r="A43" s="78">
        <v>4.2</v>
      </c>
      <c r="B43" s="79" t="s">
        <v>156</v>
      </c>
      <c r="C43" s="79"/>
      <c r="D43" s="80"/>
    </row>
    <row r="44" ht="15.75" customHeight="1">
      <c r="A44" s="81">
        <v>4.3</v>
      </c>
      <c r="B44" s="82" t="s">
        <v>157</v>
      </c>
      <c r="C44" s="82"/>
      <c r="D44" s="83"/>
    </row>
    <row r="45" ht="15.75" customHeight="1">
      <c r="A45" s="78">
        <v>4.4</v>
      </c>
      <c r="B45" s="79" t="s">
        <v>158</v>
      </c>
      <c r="C45" s="79"/>
      <c r="D45" s="80"/>
    </row>
    <row r="46" ht="15.75" customHeight="1">
      <c r="A46" s="81">
        <v>4.5</v>
      </c>
      <c r="B46" s="82" t="s">
        <v>159</v>
      </c>
      <c r="C46" s="82"/>
      <c r="D46" s="83"/>
    </row>
    <row r="47" ht="15.75" customHeight="1">
      <c r="A47" s="78">
        <v>4.6</v>
      </c>
      <c r="B47" s="79" t="s">
        <v>160</v>
      </c>
      <c r="C47" s="79"/>
      <c r="D47" s="80"/>
    </row>
    <row r="48" ht="15.75" customHeight="1">
      <c r="A48" s="81">
        <v>4.7</v>
      </c>
      <c r="B48" s="82" t="s">
        <v>161</v>
      </c>
      <c r="C48" s="82"/>
      <c r="D48" s="83"/>
    </row>
    <row r="49" ht="15.75" customHeight="1">
      <c r="A49" s="91">
        <v>4.8</v>
      </c>
      <c r="B49" s="79" t="s">
        <v>162</v>
      </c>
      <c r="C49" s="79"/>
      <c r="D49" s="80"/>
    </row>
    <row r="50" ht="15.75" customHeight="1">
      <c r="A50" s="92">
        <v>4.9</v>
      </c>
      <c r="B50" s="82" t="s">
        <v>163</v>
      </c>
      <c r="C50" s="82"/>
      <c r="D50" s="83"/>
    </row>
    <row r="51" ht="15.75" customHeight="1">
      <c r="A51" s="93" t="s">
        <v>164</v>
      </c>
      <c r="B51" s="79" t="s">
        <v>165</v>
      </c>
      <c r="C51" s="79"/>
      <c r="D51" s="80"/>
    </row>
    <row r="52" ht="15.75" customHeight="1">
      <c r="A52" s="92">
        <v>4.11</v>
      </c>
      <c r="B52" s="82" t="s">
        <v>166</v>
      </c>
      <c r="C52" s="82"/>
      <c r="D52" s="83"/>
    </row>
    <row r="53" ht="15.75" customHeight="1">
      <c r="A53" s="91">
        <v>4.12</v>
      </c>
      <c r="B53" s="79" t="s">
        <v>167</v>
      </c>
      <c r="C53" s="79"/>
      <c r="D53" s="80"/>
    </row>
    <row r="54" ht="15.75" customHeight="1">
      <c r="A54" s="92">
        <v>4.13</v>
      </c>
      <c r="B54" s="82" t="s">
        <v>168</v>
      </c>
      <c r="C54" s="82"/>
      <c r="D54" s="83"/>
    </row>
    <row r="55" ht="15.75" customHeight="1">
      <c r="A55" s="91">
        <v>4.14</v>
      </c>
      <c r="B55" s="79" t="s">
        <v>169</v>
      </c>
      <c r="C55" s="79"/>
      <c r="D55" s="80"/>
    </row>
    <row r="56" ht="15.75" customHeight="1">
      <c r="A56" s="92">
        <v>4.15</v>
      </c>
      <c r="B56" s="82" t="s">
        <v>170</v>
      </c>
      <c r="C56" s="82"/>
      <c r="D56" s="83"/>
    </row>
    <row r="57" ht="15.75" customHeight="1">
      <c r="A57" s="91">
        <v>4.16</v>
      </c>
      <c r="B57" s="79" t="s">
        <v>171</v>
      </c>
      <c r="C57" s="79"/>
      <c r="D57" s="80"/>
    </row>
    <row r="58" ht="15.75" customHeight="1">
      <c r="A58" s="92">
        <v>4.17</v>
      </c>
      <c r="B58" s="82" t="s">
        <v>172</v>
      </c>
      <c r="C58" s="82"/>
      <c r="D58" s="83"/>
    </row>
    <row r="59" ht="15.75" customHeight="1">
      <c r="A59" s="91">
        <v>4.18</v>
      </c>
      <c r="B59" s="79" t="s">
        <v>173</v>
      </c>
      <c r="C59" s="79"/>
      <c r="D59" s="80"/>
    </row>
    <row r="60" ht="15.75" customHeight="1">
      <c r="A60" s="92">
        <v>4.19</v>
      </c>
      <c r="B60" s="82" t="s">
        <v>174</v>
      </c>
      <c r="C60" s="82"/>
      <c r="D60" s="83"/>
    </row>
    <row r="61" ht="15.75" customHeight="1">
      <c r="A61" s="93" t="s">
        <v>175</v>
      </c>
      <c r="B61" s="79" t="s">
        <v>176</v>
      </c>
      <c r="C61" s="79"/>
      <c r="D61" s="80"/>
    </row>
    <row r="62" ht="15.75" customHeight="1">
      <c r="A62" s="81"/>
      <c r="B62" s="82"/>
      <c r="C62" s="82"/>
      <c r="D62" s="86"/>
    </row>
    <row r="63" ht="15.75" customHeight="1">
      <c r="A63" s="87"/>
      <c r="B63" s="88" t="s">
        <v>177</v>
      </c>
      <c r="C63" s="89"/>
      <c r="D63" s="90"/>
    </row>
    <row r="64" ht="15.75" customHeight="1">
      <c r="A64" s="81">
        <v>5.1</v>
      </c>
      <c r="B64" s="82" t="s">
        <v>178</v>
      </c>
      <c r="C64" s="82"/>
      <c r="D64" s="83"/>
    </row>
    <row r="65" ht="15.75" customHeight="1">
      <c r="A65" s="78">
        <v>5.2</v>
      </c>
      <c r="B65" s="79" t="s">
        <v>179</v>
      </c>
      <c r="C65" s="79"/>
      <c r="D65" s="80"/>
    </row>
    <row r="66" ht="15.75" customHeight="1">
      <c r="A66" s="81">
        <v>5.3</v>
      </c>
      <c r="B66" s="82" t="s">
        <v>180</v>
      </c>
      <c r="C66" s="82"/>
      <c r="D66" s="83"/>
    </row>
    <row r="67" ht="15.75" customHeight="1">
      <c r="A67" s="78">
        <v>5.4</v>
      </c>
      <c r="B67" s="79" t="s">
        <v>181</v>
      </c>
      <c r="C67" s="79"/>
      <c r="D67" s="80"/>
    </row>
    <row r="68" ht="15.75" customHeight="1">
      <c r="A68" s="81">
        <v>5.5</v>
      </c>
      <c r="B68" s="82" t="s">
        <v>182</v>
      </c>
      <c r="C68" s="82"/>
      <c r="D68" s="83"/>
    </row>
    <row r="69" ht="15.75" customHeight="1">
      <c r="A69" s="78">
        <v>5.6</v>
      </c>
      <c r="B69" s="79" t="s">
        <v>183</v>
      </c>
      <c r="C69" s="79"/>
      <c r="D69" s="80"/>
    </row>
    <row r="70" ht="15.75" customHeight="1">
      <c r="A70" s="81">
        <v>5.7</v>
      </c>
      <c r="B70" s="82" t="s">
        <v>184</v>
      </c>
      <c r="C70" s="82"/>
      <c r="D70" s="83"/>
    </row>
    <row r="71" ht="15.75" customHeight="1">
      <c r="A71" s="78">
        <v>5.8</v>
      </c>
      <c r="B71" s="79" t="s">
        <v>185</v>
      </c>
      <c r="C71" s="79"/>
      <c r="D71" s="80"/>
    </row>
    <row r="72" ht="15.75" customHeight="1">
      <c r="A72" s="92">
        <v>5.9</v>
      </c>
      <c r="B72" s="82" t="s">
        <v>186</v>
      </c>
      <c r="C72" s="82"/>
      <c r="D72" s="83"/>
    </row>
    <row r="73" ht="15.75" customHeight="1">
      <c r="A73" s="93" t="s">
        <v>187</v>
      </c>
      <c r="B73" s="79" t="s">
        <v>188</v>
      </c>
      <c r="C73" s="79"/>
      <c r="D73" s="80"/>
    </row>
    <row r="74" ht="15.75" customHeight="1">
      <c r="A74" s="92">
        <v>5.11</v>
      </c>
      <c r="B74" s="82" t="s">
        <v>189</v>
      </c>
      <c r="C74" s="82"/>
      <c r="D74" s="83"/>
    </row>
    <row r="75" ht="15.75" customHeight="1">
      <c r="A75" s="91">
        <v>5.12</v>
      </c>
      <c r="B75" s="79" t="s">
        <v>190</v>
      </c>
      <c r="C75" s="79"/>
      <c r="D75" s="80"/>
    </row>
    <row r="76" ht="15.75" customHeight="1">
      <c r="A76" s="92">
        <v>5.13</v>
      </c>
      <c r="B76" s="82" t="s">
        <v>191</v>
      </c>
      <c r="C76" s="82"/>
      <c r="D76" s="83"/>
    </row>
    <row r="77" ht="15.75" customHeight="1">
      <c r="A77" s="91">
        <v>5.14</v>
      </c>
      <c r="B77" s="79" t="s">
        <v>192</v>
      </c>
      <c r="C77" s="79"/>
      <c r="D77" s="80"/>
    </row>
    <row r="78" ht="15.75" customHeight="1">
      <c r="A78" s="92">
        <v>5.15</v>
      </c>
      <c r="B78" s="82" t="s">
        <v>193</v>
      </c>
      <c r="C78" s="82"/>
      <c r="D78" s="83"/>
    </row>
    <row r="79" ht="15.75" customHeight="1">
      <c r="A79" s="91">
        <v>5.16</v>
      </c>
      <c r="B79" s="79" t="s">
        <v>194</v>
      </c>
      <c r="C79" s="79"/>
      <c r="D79" s="80"/>
    </row>
    <row r="80" ht="15.75" customHeight="1">
      <c r="A80" s="92">
        <v>5.17</v>
      </c>
      <c r="B80" s="82" t="s">
        <v>195</v>
      </c>
      <c r="C80" s="82"/>
      <c r="D80" s="83"/>
    </row>
    <row r="81" ht="15.75" customHeight="1">
      <c r="A81" s="91">
        <v>5.18</v>
      </c>
      <c r="B81" s="79" t="s">
        <v>196</v>
      </c>
      <c r="C81" s="79"/>
      <c r="D81" s="80"/>
    </row>
    <row r="82" ht="15.75" customHeight="1">
      <c r="A82" s="92">
        <v>5.19</v>
      </c>
      <c r="B82" s="82" t="s">
        <v>197</v>
      </c>
      <c r="C82" s="82"/>
      <c r="D82" s="83"/>
    </row>
    <row r="83" ht="15.75" customHeight="1">
      <c r="A83" s="93" t="s">
        <v>198</v>
      </c>
      <c r="B83" s="79" t="s">
        <v>199</v>
      </c>
      <c r="C83" s="79"/>
      <c r="D83" s="80"/>
    </row>
    <row r="84" ht="15.75" customHeight="1">
      <c r="A84" s="92">
        <v>5.21</v>
      </c>
      <c r="B84" s="82" t="s">
        <v>200</v>
      </c>
      <c r="C84" s="82"/>
      <c r="D84" s="83"/>
    </row>
    <row r="85" ht="15.75" customHeight="1">
      <c r="A85" s="91">
        <v>5.22</v>
      </c>
      <c r="B85" s="79" t="s">
        <v>201</v>
      </c>
      <c r="C85" s="79"/>
      <c r="D85" s="80"/>
    </row>
    <row r="86" ht="15.75" customHeight="1">
      <c r="A86" s="92">
        <v>5.23</v>
      </c>
      <c r="B86" s="82" t="s">
        <v>202</v>
      </c>
      <c r="C86" s="82"/>
      <c r="D86" s="83"/>
    </row>
    <row r="87" ht="15.75" customHeight="1">
      <c r="A87" s="78">
        <v>5.24</v>
      </c>
      <c r="B87" s="79" t="s">
        <v>203</v>
      </c>
      <c r="C87" s="79"/>
      <c r="D87" s="80"/>
    </row>
    <row r="88" ht="15.75" customHeight="1">
      <c r="A88" s="81">
        <v>5.25</v>
      </c>
      <c r="B88" s="82" t="s">
        <v>204</v>
      </c>
      <c r="C88" s="82"/>
      <c r="D88" s="83"/>
    </row>
    <row r="89" ht="15.75" customHeight="1">
      <c r="A89" s="78">
        <v>5.26</v>
      </c>
      <c r="B89" s="79" t="s">
        <v>205</v>
      </c>
      <c r="C89" s="79"/>
      <c r="D89" s="80"/>
    </row>
    <row r="90" ht="15.75" customHeight="1">
      <c r="A90" s="92">
        <v>5.27</v>
      </c>
      <c r="B90" s="82" t="s">
        <v>206</v>
      </c>
      <c r="C90" s="82"/>
      <c r="D90" s="83"/>
    </row>
    <row r="91" ht="15.75" customHeight="1">
      <c r="A91" s="91">
        <v>5.28</v>
      </c>
      <c r="B91" s="79" t="s">
        <v>207</v>
      </c>
      <c r="C91" s="79"/>
      <c r="D91" s="80"/>
    </row>
    <row r="92" ht="15.75" customHeight="1">
      <c r="A92" s="92">
        <v>5.29</v>
      </c>
      <c r="B92" s="82" t="s">
        <v>208</v>
      </c>
      <c r="C92" s="82"/>
      <c r="D92" s="83"/>
    </row>
    <row r="93" ht="15.75" customHeight="1">
      <c r="A93" s="93" t="s">
        <v>209</v>
      </c>
      <c r="B93" s="79" t="s">
        <v>210</v>
      </c>
      <c r="C93" s="79"/>
      <c r="D93" s="80"/>
    </row>
    <row r="94" ht="15.75" customHeight="1">
      <c r="A94" s="92">
        <v>5.31</v>
      </c>
      <c r="B94" s="82" t="s">
        <v>211</v>
      </c>
      <c r="C94" s="82"/>
      <c r="D94" s="83"/>
    </row>
    <row r="95" ht="15.75" customHeight="1">
      <c r="A95" s="91">
        <v>5.32</v>
      </c>
      <c r="B95" s="79" t="s">
        <v>212</v>
      </c>
      <c r="C95" s="79"/>
      <c r="D95" s="80"/>
    </row>
    <row r="96" ht="15.75" customHeight="1">
      <c r="A96" s="92">
        <v>5.33</v>
      </c>
      <c r="B96" s="82" t="s">
        <v>213</v>
      </c>
      <c r="C96" s="82"/>
      <c r="D96" s="83"/>
    </row>
    <row r="97" ht="15.75" customHeight="1">
      <c r="A97" s="91">
        <v>5.34</v>
      </c>
      <c r="B97" s="79" t="s">
        <v>214</v>
      </c>
      <c r="C97" s="79"/>
      <c r="D97" s="80"/>
    </row>
    <row r="98" ht="15.75" customHeight="1">
      <c r="A98" s="92">
        <v>5.35</v>
      </c>
      <c r="B98" s="82" t="s">
        <v>215</v>
      </c>
      <c r="C98" s="82"/>
      <c r="D98" s="83"/>
    </row>
    <row r="99" ht="15.75" customHeight="1">
      <c r="A99" s="91">
        <v>5.36</v>
      </c>
      <c r="B99" s="79" t="s">
        <v>216</v>
      </c>
      <c r="C99" s="79"/>
      <c r="D99" s="80"/>
    </row>
    <row r="100" ht="15.75" customHeight="1">
      <c r="A100" s="92">
        <v>5.37</v>
      </c>
      <c r="B100" s="82" t="s">
        <v>217</v>
      </c>
      <c r="C100" s="82"/>
      <c r="D100" s="83"/>
    </row>
    <row r="101" ht="15.75" customHeight="1">
      <c r="A101" s="91">
        <v>5.38</v>
      </c>
      <c r="B101" s="79" t="s">
        <v>218</v>
      </c>
      <c r="C101" s="79"/>
      <c r="D101" s="80"/>
    </row>
    <row r="102" ht="15.75" customHeight="1">
      <c r="A102" s="81">
        <v>5.39</v>
      </c>
      <c r="B102" s="82" t="s">
        <v>219</v>
      </c>
      <c r="C102" s="82"/>
      <c r="D102" s="83"/>
    </row>
    <row r="103" ht="15.75" customHeight="1">
      <c r="A103" s="93" t="s">
        <v>220</v>
      </c>
      <c r="B103" s="79" t="s">
        <v>221</v>
      </c>
      <c r="C103" s="79"/>
      <c r="D103" s="85"/>
    </row>
    <row r="104" ht="15.75" customHeight="1">
      <c r="A104" s="92">
        <v>5.41</v>
      </c>
      <c r="B104" s="82" t="s">
        <v>222</v>
      </c>
      <c r="C104" s="82"/>
      <c r="D104" s="86"/>
    </row>
    <row r="105" ht="15.75" customHeight="1">
      <c r="A105" s="91">
        <v>5.42</v>
      </c>
      <c r="B105" s="79" t="s">
        <v>223</v>
      </c>
      <c r="C105" s="79"/>
      <c r="D105" s="85"/>
    </row>
    <row r="106" ht="15.75" customHeight="1">
      <c r="A106" s="92">
        <v>5.43</v>
      </c>
      <c r="B106" s="82" t="s">
        <v>224</v>
      </c>
      <c r="C106" s="82"/>
      <c r="D106" s="86"/>
    </row>
    <row r="107" ht="15.75" customHeight="1">
      <c r="A107" s="94">
        <v>5.44</v>
      </c>
      <c r="B107" s="79" t="s">
        <v>225</v>
      </c>
      <c r="C107" s="79"/>
      <c r="D107" s="85"/>
    </row>
    <row r="108" ht="15.75" customHeight="1">
      <c r="A108" s="81"/>
      <c r="B108" s="82"/>
      <c r="C108" s="82"/>
      <c r="D108" s="86"/>
    </row>
    <row r="109" ht="15.75" customHeight="1">
      <c r="A109" s="95" t="s">
        <v>226</v>
      </c>
      <c r="B109" s="75" t="s">
        <v>227</v>
      </c>
      <c r="C109" s="89"/>
      <c r="D109" s="90"/>
    </row>
    <row r="110" ht="15.75" customHeight="1">
      <c r="A110" s="81">
        <v>6.1</v>
      </c>
      <c r="B110" s="82" t="s">
        <v>228</v>
      </c>
      <c r="C110" s="82"/>
      <c r="D110" s="83"/>
    </row>
    <row r="111" ht="15.75" customHeight="1">
      <c r="A111" s="78">
        <v>6.2</v>
      </c>
      <c r="B111" s="79" t="s">
        <v>229</v>
      </c>
      <c r="C111" s="79"/>
      <c r="D111" s="80"/>
    </row>
    <row r="112" ht="15.75" customHeight="1">
      <c r="A112" s="81">
        <v>6.3</v>
      </c>
      <c r="B112" s="82" t="s">
        <v>230</v>
      </c>
      <c r="C112" s="82"/>
      <c r="D112" s="83"/>
    </row>
    <row r="113" ht="15.75" customHeight="1">
      <c r="A113" s="78">
        <v>6.4</v>
      </c>
      <c r="B113" s="79" t="s">
        <v>231</v>
      </c>
      <c r="C113" s="79"/>
      <c r="D113" s="80"/>
    </row>
    <row r="114" ht="15.75" customHeight="1">
      <c r="A114" s="81">
        <v>6.5</v>
      </c>
      <c r="B114" s="82" t="s">
        <v>232</v>
      </c>
      <c r="C114" s="82"/>
      <c r="D114" s="83"/>
    </row>
    <row r="115" ht="15.75" customHeight="1">
      <c r="A115" s="78">
        <v>6.6</v>
      </c>
      <c r="B115" s="79" t="s">
        <v>233</v>
      </c>
      <c r="C115" s="79"/>
      <c r="D115" s="80"/>
    </row>
    <row r="116" ht="15.75" customHeight="1">
      <c r="A116" s="81">
        <v>6.7</v>
      </c>
      <c r="B116" s="82" t="s">
        <v>234</v>
      </c>
      <c r="C116" s="82"/>
      <c r="D116" s="83"/>
    </row>
    <row r="117" ht="15.75" customHeight="1">
      <c r="A117" s="78"/>
      <c r="B117" s="79"/>
      <c r="C117" s="79"/>
      <c r="D117" s="80"/>
    </row>
    <row r="118" ht="15.75" customHeight="1">
      <c r="A118" s="87"/>
      <c r="B118" s="88" t="s">
        <v>235</v>
      </c>
      <c r="C118" s="89"/>
      <c r="D118" s="90"/>
    </row>
    <row r="119" ht="15.75" customHeight="1">
      <c r="A119" s="78">
        <v>7.1</v>
      </c>
      <c r="B119" s="79" t="s">
        <v>236</v>
      </c>
      <c r="C119" s="79"/>
      <c r="D119" s="80"/>
    </row>
    <row r="120" ht="15.75" customHeight="1">
      <c r="A120" s="81">
        <v>7.2</v>
      </c>
      <c r="B120" s="82" t="s">
        <v>237</v>
      </c>
      <c r="C120" s="82"/>
      <c r="D120" s="83"/>
    </row>
    <row r="121" ht="15.75" customHeight="1">
      <c r="A121" s="78">
        <v>7.3</v>
      </c>
      <c r="B121" s="79" t="s">
        <v>238</v>
      </c>
      <c r="C121" s="79"/>
      <c r="D121" s="80"/>
    </row>
    <row r="122" ht="15.75" customHeight="1">
      <c r="A122" s="81"/>
      <c r="B122" s="82"/>
      <c r="C122" s="82"/>
      <c r="D122" s="83"/>
    </row>
    <row r="123" ht="15.75" customHeight="1">
      <c r="A123" s="87"/>
      <c r="B123" s="88" t="s">
        <v>239</v>
      </c>
      <c r="C123" s="89"/>
      <c r="D123" s="90"/>
    </row>
    <row r="124" ht="15.75" customHeight="1">
      <c r="A124" s="81">
        <v>8.1</v>
      </c>
      <c r="B124" s="82" t="s">
        <v>240</v>
      </c>
      <c r="C124" s="82"/>
      <c r="D124" s="83"/>
    </row>
    <row r="125" ht="15.75" customHeight="1">
      <c r="A125" s="78">
        <v>8.2</v>
      </c>
      <c r="B125" s="79" t="s">
        <v>241</v>
      </c>
      <c r="C125" s="79"/>
      <c r="D125" s="80"/>
    </row>
    <row r="126" ht="15.75" customHeight="1">
      <c r="A126" s="81">
        <v>8.3</v>
      </c>
      <c r="B126" s="82" t="s">
        <v>242</v>
      </c>
      <c r="C126" s="82"/>
      <c r="D126" s="83"/>
    </row>
    <row r="127" ht="15.75" customHeight="1">
      <c r="A127" s="78">
        <v>8.4</v>
      </c>
      <c r="B127" s="79" t="s">
        <v>243</v>
      </c>
      <c r="C127" s="79"/>
      <c r="D127" s="80"/>
    </row>
    <row r="128" ht="15.75" customHeight="1">
      <c r="A128" s="81">
        <v>8.5</v>
      </c>
      <c r="B128" s="82" t="s">
        <v>244</v>
      </c>
      <c r="C128" s="82"/>
      <c r="D128" s="83"/>
    </row>
    <row r="129" ht="15.75" customHeight="1">
      <c r="A129" s="78">
        <v>8.6</v>
      </c>
      <c r="B129" s="79" t="s">
        <v>245</v>
      </c>
      <c r="C129" s="79"/>
      <c r="D129" s="80"/>
    </row>
    <row r="130" ht="15.75" customHeight="1">
      <c r="A130" s="81">
        <v>8.7</v>
      </c>
      <c r="B130" s="82" t="s">
        <v>246</v>
      </c>
      <c r="C130" s="82"/>
      <c r="D130" s="83"/>
    </row>
    <row r="131" ht="15.75" customHeight="1">
      <c r="A131" s="78">
        <v>8.8</v>
      </c>
      <c r="B131" s="79" t="s">
        <v>247</v>
      </c>
      <c r="C131" s="79"/>
      <c r="D131" s="80"/>
    </row>
    <row r="132" ht="15.75" customHeight="1">
      <c r="A132" s="81">
        <v>8.9</v>
      </c>
      <c r="B132" s="82" t="s">
        <v>248</v>
      </c>
      <c r="C132" s="82"/>
      <c r="D132" s="83"/>
    </row>
    <row r="133" ht="15.75" customHeight="1">
      <c r="A133" s="93" t="s">
        <v>249</v>
      </c>
      <c r="B133" s="79" t="s">
        <v>250</v>
      </c>
      <c r="C133" s="79"/>
      <c r="D133" s="80"/>
    </row>
    <row r="134" ht="15.75" customHeight="1">
      <c r="A134" s="81">
        <v>8.11</v>
      </c>
      <c r="B134" s="82" t="s">
        <v>251</v>
      </c>
      <c r="C134" s="82"/>
      <c r="D134" s="83"/>
    </row>
    <row r="135" ht="15.75" customHeight="1">
      <c r="A135" s="78">
        <v>8.12</v>
      </c>
      <c r="B135" s="79" t="s">
        <v>252</v>
      </c>
      <c r="C135" s="79"/>
      <c r="D135" s="80"/>
    </row>
    <row r="136" ht="15.75" customHeight="1">
      <c r="A136" s="96">
        <v>8.13</v>
      </c>
      <c r="B136" s="82" t="s">
        <v>253</v>
      </c>
      <c r="C136" s="82"/>
      <c r="D136" s="83"/>
    </row>
    <row r="137" ht="15.75" customHeight="1">
      <c r="A137" s="94">
        <v>8.14</v>
      </c>
      <c r="B137" s="79" t="s">
        <v>254</v>
      </c>
      <c r="C137" s="79"/>
      <c r="D137" s="80"/>
    </row>
    <row r="138" ht="15.75" customHeight="1">
      <c r="A138" s="81"/>
      <c r="B138" s="82"/>
      <c r="C138" s="82"/>
      <c r="D138" s="83"/>
    </row>
    <row r="139" ht="15.75" customHeight="1">
      <c r="A139" s="87"/>
      <c r="B139" s="88" t="s">
        <v>255</v>
      </c>
      <c r="C139" s="89"/>
      <c r="D139" s="90"/>
    </row>
    <row r="140" ht="15.75" customHeight="1">
      <c r="A140" s="81">
        <v>9.1</v>
      </c>
      <c r="B140" s="82" t="s">
        <v>256</v>
      </c>
      <c r="C140" s="82"/>
      <c r="D140" s="83"/>
    </row>
    <row r="141" ht="15.75" customHeight="1">
      <c r="A141" s="78">
        <v>9.2</v>
      </c>
      <c r="B141" s="79" t="s">
        <v>257</v>
      </c>
      <c r="C141" s="79"/>
      <c r="D141" s="80"/>
    </row>
    <row r="142" ht="15.75" customHeight="1">
      <c r="A142" s="81">
        <v>9.3</v>
      </c>
      <c r="B142" s="82" t="s">
        <v>258</v>
      </c>
      <c r="C142" s="82"/>
      <c r="D142" s="83"/>
    </row>
    <row r="143" ht="15.75" customHeight="1">
      <c r="A143" s="78"/>
      <c r="B143" s="79"/>
      <c r="C143" s="79"/>
      <c r="D143" s="80"/>
    </row>
    <row r="144" ht="15.75" customHeight="1">
      <c r="A144" s="87"/>
      <c r="B144" s="88" t="s">
        <v>259</v>
      </c>
      <c r="C144" s="89"/>
      <c r="D144" s="90"/>
    </row>
    <row r="145" ht="15.75" customHeight="1">
      <c r="A145" s="91">
        <v>10.1</v>
      </c>
      <c r="B145" s="79" t="s">
        <v>260</v>
      </c>
      <c r="C145" s="79"/>
      <c r="D145" s="80"/>
    </row>
    <row r="146" ht="15.75" customHeight="1">
      <c r="A146" s="81">
        <v>10.2</v>
      </c>
      <c r="B146" s="82" t="s">
        <v>261</v>
      </c>
      <c r="C146" s="82"/>
      <c r="D146" s="83"/>
    </row>
    <row r="147" ht="15.75" customHeight="1">
      <c r="A147" s="78"/>
      <c r="B147" s="79"/>
      <c r="C147" s="79"/>
      <c r="D147" s="80"/>
    </row>
    <row r="148" ht="15.75" customHeight="1">
      <c r="A148" s="87"/>
      <c r="B148" s="88" t="s">
        <v>262</v>
      </c>
      <c r="C148" s="89"/>
      <c r="D148" s="90"/>
    </row>
    <row r="149" ht="15.75" customHeight="1">
      <c r="A149" s="97">
        <v>11.1</v>
      </c>
      <c r="B149" s="79" t="s">
        <v>263</v>
      </c>
      <c r="C149" s="79"/>
      <c r="D149" s="80"/>
    </row>
    <row r="150" ht="15.75" customHeight="1">
      <c r="A150" s="98">
        <v>11.2</v>
      </c>
      <c r="B150" s="82" t="s">
        <v>264</v>
      </c>
      <c r="C150" s="82"/>
      <c r="D150" s="83"/>
    </row>
    <row r="151" ht="15.75" customHeight="1">
      <c r="A151" s="97">
        <v>11.3</v>
      </c>
      <c r="B151" s="79" t="s">
        <v>265</v>
      </c>
      <c r="C151" s="79"/>
      <c r="D151" s="80"/>
    </row>
    <row r="152" ht="15.75" customHeight="1">
      <c r="A152" s="98">
        <v>11.4</v>
      </c>
      <c r="B152" s="82" t="s">
        <v>266</v>
      </c>
      <c r="C152" s="82"/>
      <c r="D152" s="83"/>
    </row>
    <row r="153" ht="15.75" customHeight="1">
      <c r="A153" s="97">
        <v>11.5</v>
      </c>
      <c r="B153" s="79" t="s">
        <v>267</v>
      </c>
      <c r="C153" s="79"/>
      <c r="D153" s="80"/>
    </row>
    <row r="154" ht="15.75" customHeight="1">
      <c r="A154" s="98">
        <v>11.6</v>
      </c>
      <c r="B154" s="82" t="s">
        <v>268</v>
      </c>
      <c r="C154" s="82"/>
      <c r="D154" s="83"/>
    </row>
    <row r="155" ht="15.75" customHeight="1">
      <c r="A155" s="97">
        <v>11.7</v>
      </c>
      <c r="B155" s="79" t="s">
        <v>269</v>
      </c>
      <c r="C155" s="79"/>
      <c r="D155" s="80"/>
    </row>
    <row r="156" ht="15.75" customHeight="1">
      <c r="A156" s="98">
        <v>11.8</v>
      </c>
      <c r="B156" s="82" t="s">
        <v>270</v>
      </c>
      <c r="C156" s="82"/>
      <c r="D156" s="83"/>
    </row>
    <row r="157" ht="15.75" customHeight="1">
      <c r="A157" s="97">
        <v>11.9</v>
      </c>
      <c r="B157" s="99" t="s">
        <v>271</v>
      </c>
      <c r="C157" s="79"/>
      <c r="D157" s="80"/>
    </row>
    <row r="158" ht="15.75" customHeight="1">
      <c r="A158" s="98"/>
      <c r="B158" s="82"/>
      <c r="C158" s="82"/>
      <c r="D158" s="83"/>
    </row>
    <row r="159" ht="15.75" customHeight="1">
      <c r="A159" s="87"/>
      <c r="B159" s="88" t="s">
        <v>272</v>
      </c>
      <c r="C159" s="89"/>
      <c r="D159" s="90"/>
    </row>
    <row r="160" ht="15.75" customHeight="1">
      <c r="A160" s="98">
        <v>12.1</v>
      </c>
      <c r="B160" s="82" t="s">
        <v>273</v>
      </c>
      <c r="C160" s="82"/>
      <c r="D160" s="83"/>
    </row>
    <row r="161" ht="15.75" customHeight="1">
      <c r="A161" s="97">
        <v>12.2</v>
      </c>
      <c r="B161" s="79" t="s">
        <v>274</v>
      </c>
      <c r="C161" s="79"/>
      <c r="D161" s="80"/>
    </row>
    <row r="162" ht="15.75" customHeight="1">
      <c r="A162" s="98">
        <v>12.3</v>
      </c>
      <c r="B162" s="82" t="s">
        <v>275</v>
      </c>
      <c r="C162" s="82"/>
      <c r="D162" s="83"/>
    </row>
    <row r="163" ht="15.75" customHeight="1">
      <c r="A163" s="100"/>
      <c r="B163" s="101"/>
      <c r="C163" s="101"/>
      <c r="D163" s="102"/>
    </row>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C163">
      <formula1>"Standard,Configured,Customized,Not Available"</formula1>
    </dataValidation>
  </dataValidations>
  <printOptions/>
  <pageMargins bottom="0.75" footer="0.0" header="0.0" left="0.7" right="0.7" top="0.75"/>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5"/>
    <col customWidth="1" min="2" max="2" width="58.38"/>
    <col customWidth="1" min="3" max="3" width="19.38"/>
    <col customWidth="1" min="4" max="4" width="21.75"/>
    <col customWidth="1" min="5" max="5" width="58.63"/>
    <col customWidth="1" min="6" max="6" width="81.38"/>
  </cols>
  <sheetData>
    <row r="1">
      <c r="A1" s="103" t="s">
        <v>108</v>
      </c>
      <c r="B1" s="104" t="s">
        <v>109</v>
      </c>
      <c r="C1" s="105" t="s">
        <v>276</v>
      </c>
      <c r="D1" s="106" t="s">
        <v>277</v>
      </c>
      <c r="E1" s="106" t="s">
        <v>278</v>
      </c>
      <c r="F1" s="107" t="s">
        <v>111</v>
      </c>
      <c r="G1" s="108"/>
      <c r="H1" s="108"/>
      <c r="I1" s="108"/>
      <c r="J1" s="108"/>
      <c r="K1" s="108"/>
      <c r="L1" s="108"/>
      <c r="M1" s="108"/>
      <c r="N1" s="108"/>
      <c r="O1" s="108"/>
      <c r="P1" s="108"/>
      <c r="Q1" s="108"/>
      <c r="R1" s="108"/>
      <c r="S1" s="108"/>
      <c r="T1" s="108"/>
      <c r="U1" s="108"/>
      <c r="V1" s="108"/>
      <c r="W1" s="108"/>
      <c r="X1" s="108"/>
      <c r="Y1" s="108"/>
      <c r="Z1" s="108"/>
    </row>
    <row r="2">
      <c r="A2" s="109"/>
      <c r="B2" s="110" t="s">
        <v>112</v>
      </c>
      <c r="C2" s="111"/>
      <c r="D2" s="111"/>
      <c r="E2" s="112"/>
      <c r="F2" s="113"/>
    </row>
    <row r="3">
      <c r="A3" s="114">
        <v>1.1</v>
      </c>
      <c r="B3" s="115" t="s">
        <v>113</v>
      </c>
      <c r="C3" s="114" t="s">
        <v>279</v>
      </c>
      <c r="D3" s="114" t="s">
        <v>280</v>
      </c>
      <c r="E3" s="116" t="s">
        <v>116</v>
      </c>
      <c r="F3" s="117" t="s">
        <v>281</v>
      </c>
    </row>
    <row r="4">
      <c r="A4" s="114">
        <v>1.2</v>
      </c>
      <c r="B4" s="115" t="s">
        <v>114</v>
      </c>
      <c r="C4" s="114" t="s">
        <v>282</v>
      </c>
      <c r="D4" s="114" t="s">
        <v>280</v>
      </c>
      <c r="E4" s="118" t="s">
        <v>118</v>
      </c>
      <c r="F4" s="117" t="s">
        <v>283</v>
      </c>
    </row>
    <row r="5">
      <c r="A5" s="114">
        <v>1.3</v>
      </c>
      <c r="B5" s="115" t="s">
        <v>115</v>
      </c>
      <c r="C5" s="114" t="s">
        <v>279</v>
      </c>
      <c r="D5" s="114" t="s">
        <v>280</v>
      </c>
      <c r="E5" s="118" t="s">
        <v>116</v>
      </c>
      <c r="F5" s="117" t="s">
        <v>284</v>
      </c>
    </row>
    <row r="6">
      <c r="A6" s="114">
        <v>1.4</v>
      </c>
      <c r="B6" s="115" t="s">
        <v>117</v>
      </c>
      <c r="C6" s="114" t="s">
        <v>282</v>
      </c>
      <c r="D6" s="114" t="s">
        <v>280</v>
      </c>
      <c r="E6" s="118" t="s">
        <v>118</v>
      </c>
      <c r="F6" s="117" t="s">
        <v>283</v>
      </c>
    </row>
    <row r="7">
      <c r="A7" s="114">
        <v>1.5</v>
      </c>
      <c r="B7" s="115" t="s">
        <v>119</v>
      </c>
      <c r="C7" s="114" t="s">
        <v>279</v>
      </c>
      <c r="D7" s="114" t="s">
        <v>285</v>
      </c>
      <c r="E7" s="118" t="s">
        <v>116</v>
      </c>
      <c r="F7" s="117" t="s">
        <v>286</v>
      </c>
    </row>
    <row r="8">
      <c r="A8" s="114">
        <v>1.6</v>
      </c>
      <c r="B8" s="115" t="s">
        <v>287</v>
      </c>
      <c r="C8" s="114" t="s">
        <v>279</v>
      </c>
      <c r="D8" s="114" t="s">
        <v>285</v>
      </c>
      <c r="E8" s="118" t="s">
        <v>116</v>
      </c>
      <c r="F8" s="117" t="s">
        <v>288</v>
      </c>
    </row>
    <row r="9">
      <c r="A9" s="114">
        <v>1.7</v>
      </c>
      <c r="B9" s="115" t="s">
        <v>289</v>
      </c>
      <c r="C9" s="114" t="s">
        <v>279</v>
      </c>
      <c r="D9" s="114" t="s">
        <v>285</v>
      </c>
      <c r="E9" s="118" t="s">
        <v>118</v>
      </c>
      <c r="F9" s="117" t="s">
        <v>290</v>
      </c>
    </row>
    <row r="10">
      <c r="A10" s="114">
        <v>1.8</v>
      </c>
      <c r="B10" s="119" t="s">
        <v>291</v>
      </c>
      <c r="C10" s="114" t="s">
        <v>279</v>
      </c>
      <c r="D10" s="114" t="s">
        <v>285</v>
      </c>
      <c r="E10" s="118" t="s">
        <v>116</v>
      </c>
      <c r="F10" s="117" t="s">
        <v>292</v>
      </c>
    </row>
    <row r="11">
      <c r="A11" s="114">
        <v>1.9</v>
      </c>
      <c r="B11" s="115" t="s">
        <v>125</v>
      </c>
      <c r="C11" s="114" t="s">
        <v>279</v>
      </c>
      <c r="D11" s="114" t="s">
        <v>285</v>
      </c>
      <c r="E11" s="118" t="s">
        <v>116</v>
      </c>
      <c r="F11" s="117" t="s">
        <v>293</v>
      </c>
    </row>
    <row r="12">
      <c r="A12" s="120" t="s">
        <v>126</v>
      </c>
      <c r="B12" s="115" t="s">
        <v>127</v>
      </c>
      <c r="C12" s="114" t="s">
        <v>279</v>
      </c>
      <c r="D12" s="114" t="s">
        <v>285</v>
      </c>
      <c r="E12" s="118" t="s">
        <v>116</v>
      </c>
      <c r="F12" s="117" t="s">
        <v>294</v>
      </c>
    </row>
    <row r="13">
      <c r="A13" s="114">
        <v>1.11</v>
      </c>
      <c r="B13" s="115" t="s">
        <v>128</v>
      </c>
      <c r="C13" s="114" t="s">
        <v>279</v>
      </c>
      <c r="D13" s="114" t="s">
        <v>285</v>
      </c>
      <c r="E13" s="118" t="s">
        <v>116</v>
      </c>
      <c r="F13" s="117" t="s">
        <v>295</v>
      </c>
    </row>
    <row r="14">
      <c r="A14" s="114">
        <v>1.12</v>
      </c>
      <c r="B14" s="115" t="s">
        <v>129</v>
      </c>
      <c r="C14" s="114" t="s">
        <v>279</v>
      </c>
      <c r="D14" s="114" t="s">
        <v>280</v>
      </c>
      <c r="E14" s="116" t="s">
        <v>116</v>
      </c>
      <c r="F14" s="117" t="s">
        <v>296</v>
      </c>
    </row>
    <row r="15">
      <c r="A15" s="114">
        <v>1.13</v>
      </c>
      <c r="B15" s="115" t="s">
        <v>130</v>
      </c>
      <c r="C15" s="114" t="s">
        <v>279</v>
      </c>
      <c r="D15" s="114" t="s">
        <v>285</v>
      </c>
      <c r="E15" s="118" t="s">
        <v>122</v>
      </c>
      <c r="F15" s="119" t="s">
        <v>297</v>
      </c>
    </row>
    <row r="16">
      <c r="A16" s="121"/>
      <c r="B16" s="122"/>
      <c r="C16" s="123"/>
      <c r="D16" s="123"/>
      <c r="E16" s="124"/>
      <c r="F16" s="125"/>
    </row>
    <row r="17">
      <c r="A17" s="126"/>
      <c r="B17" s="127" t="s">
        <v>131</v>
      </c>
      <c r="C17" s="128"/>
      <c r="D17" s="128"/>
      <c r="E17" s="129"/>
      <c r="F17" s="130"/>
    </row>
    <row r="18">
      <c r="A18" s="114">
        <v>2.1</v>
      </c>
      <c r="B18" s="115" t="s">
        <v>132</v>
      </c>
      <c r="C18" s="114" t="s">
        <v>282</v>
      </c>
      <c r="D18" s="114" t="s">
        <v>285</v>
      </c>
      <c r="E18" s="118" t="s">
        <v>116</v>
      </c>
      <c r="F18" s="117" t="s">
        <v>298</v>
      </c>
    </row>
    <row r="19">
      <c r="A19" s="114">
        <v>2.2</v>
      </c>
      <c r="B19" s="115" t="s">
        <v>299</v>
      </c>
      <c r="C19" s="114" t="s">
        <v>282</v>
      </c>
      <c r="D19" s="114" t="s">
        <v>285</v>
      </c>
      <c r="E19" s="118" t="s">
        <v>118</v>
      </c>
      <c r="F19" s="119" t="s">
        <v>300</v>
      </c>
    </row>
    <row r="20">
      <c r="A20" s="114">
        <v>2.3</v>
      </c>
      <c r="B20" s="115" t="s">
        <v>301</v>
      </c>
      <c r="C20" s="114" t="s">
        <v>282</v>
      </c>
      <c r="D20" s="114" t="s">
        <v>285</v>
      </c>
      <c r="E20" s="118" t="s">
        <v>118</v>
      </c>
      <c r="F20" s="119" t="s">
        <v>302</v>
      </c>
    </row>
    <row r="21">
      <c r="A21" s="114">
        <v>2.4</v>
      </c>
      <c r="B21" s="115" t="s">
        <v>135</v>
      </c>
      <c r="C21" s="114" t="s">
        <v>282</v>
      </c>
      <c r="D21" s="114" t="s">
        <v>280</v>
      </c>
      <c r="E21" s="118" t="s">
        <v>116</v>
      </c>
      <c r="F21" s="117" t="s">
        <v>303</v>
      </c>
    </row>
    <row r="22">
      <c r="A22" s="114">
        <v>2.5</v>
      </c>
      <c r="B22" s="115" t="s">
        <v>136</v>
      </c>
      <c r="C22" s="114" t="s">
        <v>282</v>
      </c>
      <c r="D22" s="114" t="s">
        <v>285</v>
      </c>
      <c r="E22" s="118" t="s">
        <v>122</v>
      </c>
      <c r="F22" s="119" t="s">
        <v>304</v>
      </c>
    </row>
    <row r="23">
      <c r="A23" s="114">
        <v>2.6</v>
      </c>
      <c r="B23" s="115" t="s">
        <v>305</v>
      </c>
      <c r="C23" s="114" t="s">
        <v>282</v>
      </c>
      <c r="D23" s="114" t="s">
        <v>285</v>
      </c>
      <c r="E23" s="118" t="s">
        <v>116</v>
      </c>
      <c r="F23" s="119" t="s">
        <v>306</v>
      </c>
    </row>
    <row r="24">
      <c r="A24" s="114">
        <v>2.7</v>
      </c>
      <c r="B24" s="115" t="s">
        <v>138</v>
      </c>
      <c r="C24" s="114" t="s">
        <v>282</v>
      </c>
      <c r="D24" s="114" t="s">
        <v>285</v>
      </c>
      <c r="E24" s="118" t="s">
        <v>116</v>
      </c>
      <c r="F24" s="131" t="s">
        <v>307</v>
      </c>
    </row>
    <row r="25">
      <c r="A25" s="114">
        <v>2.8</v>
      </c>
      <c r="B25" s="115" t="s">
        <v>308</v>
      </c>
      <c r="C25" s="114" t="s">
        <v>282</v>
      </c>
      <c r="D25" s="114" t="s">
        <v>285</v>
      </c>
      <c r="E25" s="118" t="s">
        <v>116</v>
      </c>
      <c r="F25" s="117" t="s">
        <v>309</v>
      </c>
    </row>
    <row r="26">
      <c r="A26" s="114">
        <v>2.9</v>
      </c>
      <c r="B26" s="115" t="s">
        <v>310</v>
      </c>
      <c r="C26" s="114" t="s">
        <v>282</v>
      </c>
      <c r="D26" s="114"/>
      <c r="E26" s="118" t="s">
        <v>116</v>
      </c>
      <c r="F26" s="117" t="s">
        <v>311</v>
      </c>
    </row>
    <row r="27">
      <c r="A27" s="121"/>
      <c r="B27" s="122"/>
      <c r="C27" s="123"/>
      <c r="D27" s="123"/>
      <c r="E27" s="124"/>
      <c r="F27" s="125"/>
    </row>
    <row r="28">
      <c r="A28" s="126"/>
      <c r="B28" s="127" t="s">
        <v>140</v>
      </c>
      <c r="C28" s="128"/>
      <c r="D28" s="128"/>
      <c r="E28" s="129"/>
      <c r="F28" s="130"/>
    </row>
    <row r="29">
      <c r="A29" s="114">
        <v>3.1</v>
      </c>
      <c r="B29" s="115" t="s">
        <v>312</v>
      </c>
      <c r="C29" s="114" t="s">
        <v>282</v>
      </c>
      <c r="D29" s="114" t="s">
        <v>285</v>
      </c>
      <c r="E29" s="118" t="s">
        <v>116</v>
      </c>
      <c r="F29" s="117" t="s">
        <v>313</v>
      </c>
    </row>
    <row r="30">
      <c r="A30" s="114">
        <v>3.2</v>
      </c>
      <c r="B30" s="115" t="s">
        <v>142</v>
      </c>
      <c r="C30" s="114" t="s">
        <v>282</v>
      </c>
      <c r="D30" s="114" t="s">
        <v>314</v>
      </c>
      <c r="E30" s="118" t="s">
        <v>116</v>
      </c>
      <c r="F30" s="131" t="s">
        <v>315</v>
      </c>
    </row>
    <row r="31">
      <c r="A31" s="114">
        <v>3.3</v>
      </c>
      <c r="B31" s="115" t="s">
        <v>143</v>
      </c>
      <c r="C31" s="114" t="s">
        <v>282</v>
      </c>
      <c r="D31" s="114" t="s">
        <v>285</v>
      </c>
      <c r="E31" s="118" t="s">
        <v>118</v>
      </c>
      <c r="F31" s="117" t="s">
        <v>316</v>
      </c>
    </row>
    <row r="32">
      <c r="A32" s="114">
        <v>3.4</v>
      </c>
      <c r="B32" s="115" t="s">
        <v>144</v>
      </c>
      <c r="C32" s="114" t="s">
        <v>282</v>
      </c>
      <c r="D32" s="114" t="s">
        <v>285</v>
      </c>
      <c r="E32" s="118" t="s">
        <v>122</v>
      </c>
      <c r="F32" s="117"/>
    </row>
    <row r="33">
      <c r="A33" s="114">
        <v>3.5</v>
      </c>
      <c r="B33" s="115" t="s">
        <v>145</v>
      </c>
      <c r="C33" s="114" t="s">
        <v>282</v>
      </c>
      <c r="D33" s="114" t="s">
        <v>285</v>
      </c>
      <c r="E33" s="118" t="s">
        <v>116</v>
      </c>
      <c r="F33" s="117" t="s">
        <v>317</v>
      </c>
    </row>
    <row r="34">
      <c r="A34" s="132">
        <v>3.6</v>
      </c>
      <c r="B34" s="115" t="s">
        <v>146</v>
      </c>
      <c r="C34" s="114" t="s">
        <v>282</v>
      </c>
      <c r="D34" s="114" t="s">
        <v>280</v>
      </c>
      <c r="E34" s="118" t="s">
        <v>116</v>
      </c>
      <c r="F34" s="117" t="s">
        <v>318</v>
      </c>
    </row>
    <row r="35">
      <c r="A35" s="114">
        <v>3.7</v>
      </c>
      <c r="B35" s="115" t="s">
        <v>147</v>
      </c>
      <c r="C35" s="114" t="s">
        <v>282</v>
      </c>
      <c r="D35" s="114" t="s">
        <v>280</v>
      </c>
      <c r="E35" s="118" t="s">
        <v>116</v>
      </c>
      <c r="F35" s="117" t="s">
        <v>319</v>
      </c>
    </row>
    <row r="36">
      <c r="A36" s="114">
        <v>3.8</v>
      </c>
      <c r="B36" s="115" t="s">
        <v>148</v>
      </c>
      <c r="C36" s="114" t="s">
        <v>282</v>
      </c>
      <c r="D36" s="114" t="s">
        <v>285</v>
      </c>
      <c r="E36" s="118" t="s">
        <v>116</v>
      </c>
      <c r="F36" s="117" t="s">
        <v>320</v>
      </c>
    </row>
    <row r="37">
      <c r="A37" s="114">
        <v>3.9</v>
      </c>
      <c r="B37" s="115" t="s">
        <v>149</v>
      </c>
      <c r="C37" s="114" t="s">
        <v>282</v>
      </c>
      <c r="D37" s="114" t="s">
        <v>285</v>
      </c>
      <c r="E37" s="118" t="s">
        <v>116</v>
      </c>
      <c r="F37" s="117" t="s">
        <v>321</v>
      </c>
    </row>
    <row r="38">
      <c r="A38" s="120" t="s">
        <v>150</v>
      </c>
      <c r="B38" s="115" t="s">
        <v>151</v>
      </c>
      <c r="C38" s="114" t="s">
        <v>282</v>
      </c>
      <c r="D38" s="114" t="s">
        <v>285</v>
      </c>
      <c r="E38" s="118" t="s">
        <v>120</v>
      </c>
      <c r="F38" s="117" t="s">
        <v>322</v>
      </c>
    </row>
    <row r="39">
      <c r="A39" s="114">
        <v>3.11</v>
      </c>
      <c r="B39" s="115" t="s">
        <v>152</v>
      </c>
      <c r="C39" s="114" t="s">
        <v>282</v>
      </c>
      <c r="D39" s="114" t="s">
        <v>285</v>
      </c>
      <c r="E39" s="118" t="s">
        <v>116</v>
      </c>
      <c r="F39" s="117" t="s">
        <v>323</v>
      </c>
    </row>
    <row r="40">
      <c r="A40" s="114">
        <v>3.12</v>
      </c>
      <c r="B40" s="115" t="s">
        <v>153</v>
      </c>
      <c r="C40" s="114" t="s">
        <v>282</v>
      </c>
      <c r="D40" s="114" t="s">
        <v>285</v>
      </c>
      <c r="E40" s="118" t="s">
        <v>116</v>
      </c>
      <c r="F40" s="117" t="s">
        <v>324</v>
      </c>
    </row>
    <row r="41">
      <c r="A41" s="114">
        <v>3.13</v>
      </c>
      <c r="B41" s="115" t="s">
        <v>325</v>
      </c>
      <c r="C41" s="114" t="s">
        <v>282</v>
      </c>
      <c r="D41" s="114" t="s">
        <v>285</v>
      </c>
      <c r="E41" s="118" t="s">
        <v>120</v>
      </c>
      <c r="F41" s="119" t="s">
        <v>326</v>
      </c>
    </row>
    <row r="42">
      <c r="A42" s="121"/>
      <c r="B42" s="122"/>
      <c r="C42" s="123"/>
      <c r="D42" s="123"/>
      <c r="E42" s="124"/>
      <c r="F42" s="125"/>
    </row>
    <row r="43">
      <c r="A43" s="126"/>
      <c r="B43" s="127" t="s">
        <v>154</v>
      </c>
      <c r="C43" s="128"/>
      <c r="D43" s="128"/>
      <c r="E43" s="129"/>
      <c r="F43" s="130"/>
    </row>
    <row r="44" ht="93.0" customHeight="1">
      <c r="A44" s="114">
        <v>4.1</v>
      </c>
      <c r="B44" s="115" t="s">
        <v>155</v>
      </c>
      <c r="C44" s="114" t="s">
        <v>279</v>
      </c>
      <c r="D44" s="114" t="s">
        <v>280</v>
      </c>
      <c r="E44" s="118" t="s">
        <v>116</v>
      </c>
      <c r="F44" s="117" t="s">
        <v>327</v>
      </c>
    </row>
    <row r="45">
      <c r="A45" s="114">
        <v>4.2</v>
      </c>
      <c r="B45" s="115" t="s">
        <v>328</v>
      </c>
      <c r="C45" s="114" t="s">
        <v>279</v>
      </c>
      <c r="D45" s="114" t="s">
        <v>280</v>
      </c>
      <c r="E45" s="118" t="s">
        <v>116</v>
      </c>
      <c r="F45" s="117" t="s">
        <v>329</v>
      </c>
    </row>
    <row r="46">
      <c r="A46" s="114">
        <v>4.3</v>
      </c>
      <c r="B46" s="115" t="s">
        <v>330</v>
      </c>
      <c r="C46" s="114" t="s">
        <v>279</v>
      </c>
      <c r="D46" s="114" t="s">
        <v>280</v>
      </c>
      <c r="E46" s="118" t="s">
        <v>116</v>
      </c>
      <c r="F46" s="117" t="s">
        <v>331</v>
      </c>
    </row>
    <row r="47">
      <c r="A47" s="114">
        <v>4.4</v>
      </c>
      <c r="B47" s="115" t="s">
        <v>332</v>
      </c>
      <c r="C47" s="114" t="s">
        <v>279</v>
      </c>
      <c r="D47" s="114" t="s">
        <v>280</v>
      </c>
      <c r="E47" s="118" t="s">
        <v>116</v>
      </c>
      <c r="F47" s="117" t="s">
        <v>333</v>
      </c>
    </row>
    <row r="48">
      <c r="A48" s="114">
        <v>4.5</v>
      </c>
      <c r="B48" s="115" t="s">
        <v>334</v>
      </c>
      <c r="C48" s="114" t="s">
        <v>279</v>
      </c>
      <c r="D48" s="114" t="s">
        <v>285</v>
      </c>
      <c r="E48" s="118" t="s">
        <v>116</v>
      </c>
      <c r="F48" s="117" t="s">
        <v>335</v>
      </c>
    </row>
    <row r="49">
      <c r="A49" s="114">
        <v>4.6</v>
      </c>
      <c r="B49" s="115" t="s">
        <v>336</v>
      </c>
      <c r="C49" s="114" t="s">
        <v>337</v>
      </c>
      <c r="D49" s="114" t="s">
        <v>285</v>
      </c>
      <c r="E49" s="118" t="s">
        <v>122</v>
      </c>
      <c r="F49" s="117" t="s">
        <v>338</v>
      </c>
    </row>
    <row r="50">
      <c r="A50" s="114">
        <v>4.7</v>
      </c>
      <c r="B50" s="115" t="s">
        <v>161</v>
      </c>
      <c r="C50" s="114" t="s">
        <v>279</v>
      </c>
      <c r="D50" s="114" t="s">
        <v>285</v>
      </c>
      <c r="E50" s="118" t="s">
        <v>118</v>
      </c>
      <c r="F50" s="117" t="s">
        <v>339</v>
      </c>
    </row>
    <row r="51">
      <c r="A51" s="114">
        <v>4.8</v>
      </c>
      <c r="B51" s="115" t="s">
        <v>162</v>
      </c>
      <c r="C51" s="114" t="s">
        <v>279</v>
      </c>
      <c r="D51" s="114" t="s">
        <v>285</v>
      </c>
      <c r="E51" s="118" t="s">
        <v>116</v>
      </c>
      <c r="F51" s="131" t="s">
        <v>340</v>
      </c>
    </row>
    <row r="52">
      <c r="A52" s="114">
        <v>4.9</v>
      </c>
      <c r="B52" s="115" t="s">
        <v>163</v>
      </c>
      <c r="C52" s="114" t="s">
        <v>279</v>
      </c>
      <c r="D52" s="114" t="s">
        <v>285</v>
      </c>
      <c r="E52" s="118" t="s">
        <v>116</v>
      </c>
      <c r="F52" s="131" t="s">
        <v>341</v>
      </c>
    </row>
    <row r="53">
      <c r="A53" s="120" t="s">
        <v>164</v>
      </c>
      <c r="B53" s="115" t="s">
        <v>165</v>
      </c>
      <c r="C53" s="114" t="s">
        <v>279</v>
      </c>
      <c r="D53" s="114" t="s">
        <v>280</v>
      </c>
      <c r="E53" s="118" t="s">
        <v>116</v>
      </c>
      <c r="F53" s="117" t="s">
        <v>342</v>
      </c>
    </row>
    <row r="54">
      <c r="A54" s="114">
        <v>4.11</v>
      </c>
      <c r="B54" s="115" t="s">
        <v>166</v>
      </c>
      <c r="C54" s="114" t="s">
        <v>279</v>
      </c>
      <c r="D54" s="114" t="s">
        <v>280</v>
      </c>
      <c r="E54" s="118" t="s">
        <v>116</v>
      </c>
      <c r="F54" s="117" t="s">
        <v>343</v>
      </c>
    </row>
    <row r="55">
      <c r="A55" s="114">
        <v>4.12</v>
      </c>
      <c r="B55" s="119" t="s">
        <v>344</v>
      </c>
      <c r="C55" s="114" t="s">
        <v>279</v>
      </c>
      <c r="D55" s="114" t="s">
        <v>280</v>
      </c>
      <c r="E55" s="118" t="s">
        <v>116</v>
      </c>
      <c r="F55" s="117" t="s">
        <v>345</v>
      </c>
    </row>
    <row r="56">
      <c r="A56" s="114">
        <v>4.13</v>
      </c>
      <c r="B56" s="119" t="s">
        <v>346</v>
      </c>
      <c r="C56" s="114" t="s">
        <v>279</v>
      </c>
      <c r="D56" s="114" t="s">
        <v>280</v>
      </c>
      <c r="E56" s="118" t="s">
        <v>116</v>
      </c>
      <c r="F56" s="117" t="s">
        <v>347</v>
      </c>
    </row>
    <row r="57">
      <c r="A57" s="114">
        <v>4.14</v>
      </c>
      <c r="B57" s="119" t="s">
        <v>348</v>
      </c>
      <c r="C57" s="114" t="s">
        <v>279</v>
      </c>
      <c r="D57" s="114" t="s">
        <v>280</v>
      </c>
      <c r="E57" s="118" t="s">
        <v>118</v>
      </c>
      <c r="F57" s="117" t="s">
        <v>349</v>
      </c>
    </row>
    <row r="58">
      <c r="A58" s="114">
        <v>4.15</v>
      </c>
      <c r="B58" s="115" t="s">
        <v>169</v>
      </c>
      <c r="C58" s="114" t="s">
        <v>279</v>
      </c>
      <c r="D58" s="114" t="s">
        <v>280</v>
      </c>
      <c r="E58" s="118" t="s">
        <v>116</v>
      </c>
      <c r="F58" s="117" t="s">
        <v>350</v>
      </c>
    </row>
    <row r="59">
      <c r="A59" s="114">
        <v>4.16</v>
      </c>
      <c r="B59" s="115" t="s">
        <v>170</v>
      </c>
      <c r="C59" s="114" t="s">
        <v>279</v>
      </c>
      <c r="D59" s="114" t="s">
        <v>285</v>
      </c>
      <c r="E59" s="118" t="s">
        <v>116</v>
      </c>
      <c r="F59" s="117" t="s">
        <v>351</v>
      </c>
    </row>
    <row r="60">
      <c r="A60" s="114">
        <v>4.17</v>
      </c>
      <c r="B60" s="115" t="s">
        <v>171</v>
      </c>
      <c r="C60" s="114" t="s">
        <v>279</v>
      </c>
      <c r="D60" s="114" t="s">
        <v>285</v>
      </c>
      <c r="E60" s="118" t="s">
        <v>118</v>
      </c>
      <c r="F60" s="117" t="s">
        <v>352</v>
      </c>
    </row>
    <row r="61">
      <c r="A61" s="114">
        <v>4.18</v>
      </c>
      <c r="B61" s="119" t="s">
        <v>353</v>
      </c>
      <c r="C61" s="114" t="s">
        <v>279</v>
      </c>
      <c r="D61" s="114" t="s">
        <v>280</v>
      </c>
      <c r="E61" s="118" t="s">
        <v>116</v>
      </c>
      <c r="F61" s="117" t="s">
        <v>354</v>
      </c>
    </row>
    <row r="62">
      <c r="A62" s="114">
        <v>4.19</v>
      </c>
      <c r="B62" s="115" t="s">
        <v>173</v>
      </c>
      <c r="C62" s="114" t="s">
        <v>279</v>
      </c>
      <c r="D62" s="114" t="s">
        <v>285</v>
      </c>
      <c r="E62" s="118" t="s">
        <v>122</v>
      </c>
      <c r="F62" s="117"/>
    </row>
    <row r="63">
      <c r="A63" s="120" t="s">
        <v>175</v>
      </c>
      <c r="B63" s="115" t="s">
        <v>174</v>
      </c>
      <c r="C63" s="114" t="s">
        <v>279</v>
      </c>
      <c r="D63" s="114" t="s">
        <v>285</v>
      </c>
      <c r="E63" s="118" t="s">
        <v>122</v>
      </c>
      <c r="F63" s="117"/>
    </row>
    <row r="64">
      <c r="A64" s="114">
        <v>4.21</v>
      </c>
      <c r="B64" s="115" t="s">
        <v>176</v>
      </c>
      <c r="C64" s="114" t="s">
        <v>279</v>
      </c>
      <c r="D64" s="114" t="s">
        <v>285</v>
      </c>
      <c r="E64" s="118" t="s">
        <v>116</v>
      </c>
      <c r="F64" s="117"/>
    </row>
    <row r="65">
      <c r="A65" s="121"/>
      <c r="B65" s="122"/>
      <c r="C65" s="123"/>
      <c r="D65" s="123"/>
      <c r="E65" s="124"/>
      <c r="F65" s="125"/>
    </row>
    <row r="66">
      <c r="A66" s="126"/>
      <c r="B66" s="127" t="s">
        <v>177</v>
      </c>
      <c r="C66" s="128"/>
      <c r="D66" s="128"/>
      <c r="E66" s="129"/>
      <c r="F66" s="130"/>
    </row>
    <row r="67">
      <c r="A67" s="114">
        <v>5.1</v>
      </c>
      <c r="B67" s="115" t="s">
        <v>178</v>
      </c>
      <c r="C67" s="114" t="s">
        <v>279</v>
      </c>
      <c r="D67" s="114" t="s">
        <v>280</v>
      </c>
      <c r="E67" s="118" t="s">
        <v>116</v>
      </c>
      <c r="F67" s="117" t="s">
        <v>355</v>
      </c>
    </row>
    <row r="68">
      <c r="A68" s="114">
        <v>5.2</v>
      </c>
      <c r="B68" s="115" t="s">
        <v>179</v>
      </c>
      <c r="C68" s="114" t="s">
        <v>279</v>
      </c>
      <c r="D68" s="114" t="s">
        <v>285</v>
      </c>
      <c r="E68" s="118" t="s">
        <v>116</v>
      </c>
      <c r="F68" s="117" t="s">
        <v>356</v>
      </c>
    </row>
    <row r="69">
      <c r="A69" s="114">
        <v>5.3</v>
      </c>
      <c r="B69" s="115" t="s">
        <v>180</v>
      </c>
      <c r="C69" s="114" t="s">
        <v>279</v>
      </c>
      <c r="D69" s="114" t="s">
        <v>285</v>
      </c>
      <c r="E69" s="118" t="s">
        <v>116</v>
      </c>
      <c r="F69" s="117" t="s">
        <v>356</v>
      </c>
    </row>
    <row r="70">
      <c r="A70" s="114">
        <v>5.4</v>
      </c>
      <c r="B70" s="115" t="s">
        <v>181</v>
      </c>
      <c r="C70" s="114" t="s">
        <v>279</v>
      </c>
      <c r="D70" s="114" t="s">
        <v>285</v>
      </c>
      <c r="E70" s="118" t="s">
        <v>116</v>
      </c>
      <c r="F70" s="117" t="s">
        <v>357</v>
      </c>
    </row>
    <row r="71">
      <c r="A71" s="114">
        <v>5.5</v>
      </c>
      <c r="B71" s="115" t="s">
        <v>182</v>
      </c>
      <c r="C71" s="114" t="s">
        <v>279</v>
      </c>
      <c r="D71" s="114" t="s">
        <v>285</v>
      </c>
      <c r="E71" s="118" t="s">
        <v>116</v>
      </c>
      <c r="F71" s="117" t="s">
        <v>358</v>
      </c>
    </row>
    <row r="72">
      <c r="A72" s="114">
        <v>5.6</v>
      </c>
      <c r="B72" s="115" t="s">
        <v>183</v>
      </c>
      <c r="C72" s="114" t="s">
        <v>279</v>
      </c>
      <c r="D72" s="114" t="s">
        <v>285</v>
      </c>
      <c r="E72" s="118" t="s">
        <v>116</v>
      </c>
      <c r="F72" s="117" t="s">
        <v>359</v>
      </c>
    </row>
    <row r="73">
      <c r="A73" s="114">
        <v>5.7</v>
      </c>
      <c r="B73" s="115" t="s">
        <v>184</v>
      </c>
      <c r="C73" s="114" t="s">
        <v>279</v>
      </c>
      <c r="D73" s="114" t="s">
        <v>285</v>
      </c>
      <c r="E73" s="118" t="s">
        <v>116</v>
      </c>
      <c r="F73" s="117" t="s">
        <v>360</v>
      </c>
    </row>
    <row r="74">
      <c r="A74" s="114">
        <v>5.8</v>
      </c>
      <c r="B74" s="115" t="s">
        <v>185</v>
      </c>
      <c r="C74" s="114" t="s">
        <v>279</v>
      </c>
      <c r="D74" s="114" t="s">
        <v>285</v>
      </c>
      <c r="E74" s="118" t="s">
        <v>116</v>
      </c>
      <c r="F74" s="117" t="s">
        <v>361</v>
      </c>
    </row>
    <row r="75">
      <c r="A75" s="114">
        <v>5.9</v>
      </c>
      <c r="B75" s="115" t="s">
        <v>186</v>
      </c>
      <c r="C75" s="114" t="s">
        <v>279</v>
      </c>
      <c r="D75" s="114" t="s">
        <v>285</v>
      </c>
      <c r="E75" s="118" t="s">
        <v>116</v>
      </c>
      <c r="F75" s="117" t="s">
        <v>362</v>
      </c>
    </row>
    <row r="76">
      <c r="A76" s="120" t="s">
        <v>187</v>
      </c>
      <c r="B76" s="115" t="s">
        <v>188</v>
      </c>
      <c r="C76" s="114" t="s">
        <v>279</v>
      </c>
      <c r="D76" s="114" t="s">
        <v>285</v>
      </c>
      <c r="E76" s="118" t="s">
        <v>116</v>
      </c>
      <c r="F76" s="117" t="s">
        <v>363</v>
      </c>
    </row>
    <row r="77">
      <c r="A77" s="114">
        <v>5.11</v>
      </c>
      <c r="B77" s="115" t="s">
        <v>189</v>
      </c>
      <c r="C77" s="114" t="s">
        <v>279</v>
      </c>
      <c r="D77" s="114" t="s">
        <v>314</v>
      </c>
      <c r="E77" s="118" t="s">
        <v>116</v>
      </c>
      <c r="F77" s="117" t="s">
        <v>363</v>
      </c>
    </row>
    <row r="78">
      <c r="A78" s="114">
        <v>5.12</v>
      </c>
      <c r="B78" s="115" t="s">
        <v>190</v>
      </c>
      <c r="C78" s="114" t="s">
        <v>279</v>
      </c>
      <c r="D78" s="114" t="s">
        <v>314</v>
      </c>
      <c r="E78" s="118" t="s">
        <v>116</v>
      </c>
      <c r="F78" s="117" t="s">
        <v>364</v>
      </c>
    </row>
    <row r="79">
      <c r="A79" s="114">
        <v>5.13</v>
      </c>
      <c r="B79" s="115" t="s">
        <v>191</v>
      </c>
      <c r="C79" s="114" t="s">
        <v>279</v>
      </c>
      <c r="D79" s="114" t="s">
        <v>285</v>
      </c>
      <c r="E79" s="118" t="s">
        <v>116</v>
      </c>
      <c r="F79" s="117" t="s">
        <v>365</v>
      </c>
    </row>
    <row r="80">
      <c r="A80" s="114">
        <v>5.14</v>
      </c>
      <c r="B80" s="115" t="s">
        <v>192</v>
      </c>
      <c r="C80" s="114" t="s">
        <v>279</v>
      </c>
      <c r="D80" s="114" t="s">
        <v>314</v>
      </c>
      <c r="E80" s="118" t="s">
        <v>122</v>
      </c>
      <c r="F80" s="117"/>
    </row>
    <row r="81">
      <c r="A81" s="114">
        <v>5.15</v>
      </c>
      <c r="B81" s="119" t="s">
        <v>366</v>
      </c>
      <c r="C81" s="114" t="s">
        <v>279</v>
      </c>
      <c r="D81" s="114" t="s">
        <v>314</v>
      </c>
      <c r="E81" s="118" t="s">
        <v>116</v>
      </c>
      <c r="F81" s="117" t="s">
        <v>367</v>
      </c>
    </row>
    <row r="82">
      <c r="A82" s="114">
        <v>5.16</v>
      </c>
      <c r="B82" s="115" t="s">
        <v>194</v>
      </c>
      <c r="C82" s="114" t="s">
        <v>279</v>
      </c>
      <c r="D82" s="114" t="s">
        <v>285</v>
      </c>
      <c r="E82" s="118" t="s">
        <v>116</v>
      </c>
      <c r="F82" s="117" t="s">
        <v>89</v>
      </c>
    </row>
    <row r="83">
      <c r="A83" s="114">
        <v>5.17</v>
      </c>
      <c r="B83" s="115" t="s">
        <v>195</v>
      </c>
      <c r="C83" s="114" t="s">
        <v>279</v>
      </c>
      <c r="D83" s="114" t="s">
        <v>285</v>
      </c>
      <c r="E83" s="118" t="s">
        <v>116</v>
      </c>
      <c r="F83" s="117" t="s">
        <v>89</v>
      </c>
    </row>
    <row r="84">
      <c r="A84" s="114">
        <v>5.18</v>
      </c>
      <c r="B84" s="115" t="s">
        <v>196</v>
      </c>
      <c r="C84" s="114" t="s">
        <v>279</v>
      </c>
      <c r="D84" s="114" t="s">
        <v>285</v>
      </c>
      <c r="E84" s="118" t="s">
        <v>116</v>
      </c>
      <c r="F84" s="117" t="s">
        <v>89</v>
      </c>
    </row>
    <row r="85">
      <c r="A85" s="114">
        <v>5.19</v>
      </c>
      <c r="B85" s="115" t="s">
        <v>197</v>
      </c>
      <c r="C85" s="114" t="s">
        <v>279</v>
      </c>
      <c r="D85" s="114" t="s">
        <v>314</v>
      </c>
      <c r="E85" s="118" t="s">
        <v>116</v>
      </c>
      <c r="F85" s="117" t="s">
        <v>89</v>
      </c>
    </row>
    <row r="86">
      <c r="A86" s="120" t="s">
        <v>198</v>
      </c>
      <c r="B86" s="115" t="s">
        <v>199</v>
      </c>
      <c r="C86" s="114" t="s">
        <v>279</v>
      </c>
      <c r="D86" s="114" t="s">
        <v>314</v>
      </c>
      <c r="E86" s="118" t="s">
        <v>116</v>
      </c>
      <c r="F86" s="117" t="s">
        <v>89</v>
      </c>
    </row>
    <row r="87">
      <c r="A87" s="114">
        <v>5.21</v>
      </c>
      <c r="B87" s="119" t="s">
        <v>368</v>
      </c>
      <c r="C87" s="114" t="s">
        <v>279</v>
      </c>
      <c r="D87" s="114" t="s">
        <v>314</v>
      </c>
      <c r="E87" s="118" t="s">
        <v>116</v>
      </c>
      <c r="F87" s="117" t="s">
        <v>89</v>
      </c>
    </row>
    <row r="88">
      <c r="A88" s="114">
        <v>5.22</v>
      </c>
      <c r="B88" s="115" t="s">
        <v>201</v>
      </c>
      <c r="C88" s="114" t="s">
        <v>279</v>
      </c>
      <c r="D88" s="114" t="s">
        <v>285</v>
      </c>
      <c r="E88" s="118" t="s">
        <v>116</v>
      </c>
      <c r="F88" s="117" t="s">
        <v>89</v>
      </c>
    </row>
    <row r="89">
      <c r="A89" s="114">
        <v>5.23</v>
      </c>
      <c r="B89" s="115" t="s">
        <v>202</v>
      </c>
      <c r="C89" s="114" t="s">
        <v>279</v>
      </c>
      <c r="D89" s="114" t="s">
        <v>314</v>
      </c>
      <c r="E89" s="118" t="s">
        <v>122</v>
      </c>
      <c r="F89" s="117"/>
    </row>
    <row r="90">
      <c r="A90" s="114">
        <v>5.24</v>
      </c>
      <c r="B90" s="115" t="s">
        <v>203</v>
      </c>
      <c r="C90" s="114" t="s">
        <v>279</v>
      </c>
      <c r="D90" s="114" t="s">
        <v>285</v>
      </c>
      <c r="E90" s="118" t="s">
        <v>116</v>
      </c>
      <c r="F90" s="117" t="s">
        <v>369</v>
      </c>
    </row>
    <row r="91">
      <c r="A91" s="114">
        <v>5.25</v>
      </c>
      <c r="B91" s="115" t="s">
        <v>204</v>
      </c>
      <c r="C91" s="114" t="s">
        <v>279</v>
      </c>
      <c r="D91" s="114" t="s">
        <v>285</v>
      </c>
      <c r="E91" s="118" t="s">
        <v>118</v>
      </c>
      <c r="F91" s="117" t="s">
        <v>370</v>
      </c>
    </row>
    <row r="92">
      <c r="A92" s="114">
        <v>5.26</v>
      </c>
      <c r="B92" s="115" t="s">
        <v>205</v>
      </c>
      <c r="C92" s="114" t="s">
        <v>279</v>
      </c>
      <c r="D92" s="114" t="s">
        <v>285</v>
      </c>
      <c r="E92" s="118" t="s">
        <v>116</v>
      </c>
      <c r="F92" s="117" t="s">
        <v>371</v>
      </c>
    </row>
    <row r="93">
      <c r="A93" s="114">
        <v>5.27</v>
      </c>
      <c r="B93" s="115" t="s">
        <v>206</v>
      </c>
      <c r="C93" s="114" t="s">
        <v>279</v>
      </c>
      <c r="D93" s="114" t="s">
        <v>314</v>
      </c>
      <c r="E93" s="118" t="s">
        <v>118</v>
      </c>
      <c r="F93" s="133" t="s">
        <v>372</v>
      </c>
    </row>
    <row r="94">
      <c r="A94" s="114">
        <v>5.28</v>
      </c>
      <c r="B94" s="115" t="s">
        <v>207</v>
      </c>
      <c r="C94" s="114" t="s">
        <v>279</v>
      </c>
      <c r="D94" s="114" t="s">
        <v>314</v>
      </c>
      <c r="E94" s="118" t="s">
        <v>116</v>
      </c>
      <c r="F94" s="117" t="s">
        <v>373</v>
      </c>
    </row>
    <row r="95">
      <c r="A95" s="114">
        <v>5.29</v>
      </c>
      <c r="B95" s="115" t="s">
        <v>208</v>
      </c>
      <c r="C95" s="114" t="s">
        <v>337</v>
      </c>
      <c r="D95" s="114" t="s">
        <v>280</v>
      </c>
      <c r="E95" s="118" t="s">
        <v>116</v>
      </c>
      <c r="F95" s="117" t="s">
        <v>374</v>
      </c>
    </row>
    <row r="96">
      <c r="A96" s="120" t="s">
        <v>209</v>
      </c>
      <c r="B96" s="115" t="s">
        <v>210</v>
      </c>
      <c r="C96" s="114" t="s">
        <v>279</v>
      </c>
      <c r="D96" s="114" t="s">
        <v>314</v>
      </c>
      <c r="E96" s="118" t="s">
        <v>118</v>
      </c>
      <c r="F96" s="117" t="s">
        <v>375</v>
      </c>
    </row>
    <row r="97">
      <c r="A97" s="114">
        <v>5.31</v>
      </c>
      <c r="B97" s="115" t="s">
        <v>211</v>
      </c>
      <c r="C97" s="114" t="s">
        <v>279</v>
      </c>
      <c r="D97" s="114" t="s">
        <v>285</v>
      </c>
      <c r="E97" s="118" t="s">
        <v>116</v>
      </c>
      <c r="F97" s="117"/>
    </row>
    <row r="98">
      <c r="A98" s="114">
        <v>5.32</v>
      </c>
      <c r="B98" s="115" t="s">
        <v>212</v>
      </c>
      <c r="C98" s="114" t="s">
        <v>337</v>
      </c>
      <c r="D98" s="114" t="s">
        <v>285</v>
      </c>
      <c r="E98" s="118" t="s">
        <v>116</v>
      </c>
      <c r="F98" s="117" t="s">
        <v>376</v>
      </c>
    </row>
    <row r="99">
      <c r="A99" s="114">
        <v>5.33</v>
      </c>
      <c r="B99" s="115" t="s">
        <v>213</v>
      </c>
      <c r="C99" s="114" t="s">
        <v>279</v>
      </c>
      <c r="D99" s="114" t="s">
        <v>285</v>
      </c>
      <c r="E99" s="118" t="s">
        <v>116</v>
      </c>
      <c r="F99" s="117" t="s">
        <v>377</v>
      </c>
    </row>
    <row r="100">
      <c r="A100" s="114">
        <v>5.34</v>
      </c>
      <c r="B100" s="115" t="s">
        <v>214</v>
      </c>
      <c r="C100" s="114" t="s">
        <v>282</v>
      </c>
      <c r="D100" s="114" t="s">
        <v>285</v>
      </c>
      <c r="E100" s="118" t="s">
        <v>116</v>
      </c>
      <c r="F100" s="117" t="s">
        <v>378</v>
      </c>
    </row>
    <row r="101">
      <c r="A101" s="114">
        <v>5.35</v>
      </c>
      <c r="B101" s="115" t="s">
        <v>379</v>
      </c>
      <c r="C101" s="114" t="s">
        <v>337</v>
      </c>
      <c r="D101" s="114" t="s">
        <v>285</v>
      </c>
      <c r="E101" s="118" t="s">
        <v>116</v>
      </c>
      <c r="F101" s="117" t="s">
        <v>380</v>
      </c>
    </row>
    <row r="102">
      <c r="A102" s="114">
        <v>5.36</v>
      </c>
      <c r="B102" s="115" t="s">
        <v>216</v>
      </c>
      <c r="C102" s="114" t="s">
        <v>279</v>
      </c>
      <c r="D102" s="114" t="s">
        <v>285</v>
      </c>
      <c r="E102" s="118" t="s">
        <v>116</v>
      </c>
      <c r="F102" s="117" t="s">
        <v>381</v>
      </c>
    </row>
    <row r="103">
      <c r="A103" s="114">
        <v>5.37</v>
      </c>
      <c r="B103" s="115" t="s">
        <v>217</v>
      </c>
      <c r="C103" s="114" t="s">
        <v>279</v>
      </c>
      <c r="D103" s="114" t="s">
        <v>285</v>
      </c>
      <c r="E103" s="118" t="s">
        <v>116</v>
      </c>
      <c r="F103" s="117" t="s">
        <v>382</v>
      </c>
    </row>
    <row r="104">
      <c r="A104" s="114">
        <v>5.38</v>
      </c>
      <c r="B104" s="115" t="s">
        <v>218</v>
      </c>
      <c r="C104" s="114" t="s">
        <v>279</v>
      </c>
      <c r="D104" s="114" t="s">
        <v>285</v>
      </c>
      <c r="E104" s="118" t="s">
        <v>116</v>
      </c>
      <c r="F104" s="117" t="s">
        <v>383</v>
      </c>
    </row>
    <row r="105">
      <c r="A105" s="114">
        <v>5.39</v>
      </c>
      <c r="B105" s="115" t="s">
        <v>219</v>
      </c>
      <c r="C105" s="114" t="s">
        <v>279</v>
      </c>
      <c r="D105" s="114" t="s">
        <v>285</v>
      </c>
      <c r="E105" s="118" t="s">
        <v>116</v>
      </c>
      <c r="F105" s="117" t="s">
        <v>384</v>
      </c>
    </row>
    <row r="106">
      <c r="A106" s="120" t="s">
        <v>220</v>
      </c>
      <c r="B106" s="115" t="s">
        <v>221</v>
      </c>
      <c r="C106" s="114" t="s">
        <v>279</v>
      </c>
      <c r="D106" s="114" t="s">
        <v>285</v>
      </c>
      <c r="E106" s="118" t="s">
        <v>116</v>
      </c>
      <c r="F106" s="119" t="s">
        <v>385</v>
      </c>
    </row>
    <row r="107">
      <c r="A107" s="114">
        <v>5.41</v>
      </c>
      <c r="B107" s="115" t="s">
        <v>222</v>
      </c>
      <c r="C107" s="114" t="s">
        <v>279</v>
      </c>
      <c r="D107" s="114" t="s">
        <v>314</v>
      </c>
      <c r="E107" s="118" t="s">
        <v>118</v>
      </c>
      <c r="F107" s="119" t="s">
        <v>386</v>
      </c>
    </row>
    <row r="108">
      <c r="A108" s="114">
        <v>5.42</v>
      </c>
      <c r="B108" s="115" t="s">
        <v>223</v>
      </c>
      <c r="C108" s="114" t="s">
        <v>279</v>
      </c>
      <c r="D108" s="114" t="s">
        <v>285</v>
      </c>
      <c r="E108" s="118" t="s">
        <v>122</v>
      </c>
      <c r="F108" s="119"/>
    </row>
    <row r="109">
      <c r="A109" s="114">
        <v>5.43</v>
      </c>
      <c r="B109" s="115" t="s">
        <v>224</v>
      </c>
      <c r="C109" s="114" t="s">
        <v>279</v>
      </c>
      <c r="D109" s="114" t="s">
        <v>285</v>
      </c>
      <c r="E109" s="118" t="s">
        <v>122</v>
      </c>
      <c r="F109" s="119"/>
    </row>
    <row r="110">
      <c r="A110" s="132">
        <v>5.44</v>
      </c>
      <c r="B110" s="115" t="s">
        <v>225</v>
      </c>
      <c r="C110" s="114" t="s">
        <v>282</v>
      </c>
      <c r="D110" s="114" t="s">
        <v>285</v>
      </c>
      <c r="E110" s="118" t="s">
        <v>122</v>
      </c>
      <c r="F110" s="119"/>
    </row>
    <row r="111">
      <c r="A111" s="121"/>
      <c r="B111" s="122"/>
      <c r="C111" s="123"/>
      <c r="D111" s="123"/>
      <c r="E111" s="124"/>
      <c r="F111" s="125"/>
    </row>
    <row r="112">
      <c r="A112" s="109" t="s">
        <v>226</v>
      </c>
      <c r="B112" s="110" t="s">
        <v>227</v>
      </c>
      <c r="C112" s="128"/>
      <c r="D112" s="128"/>
      <c r="E112" s="129"/>
      <c r="F112" s="130"/>
    </row>
    <row r="113">
      <c r="A113" s="114">
        <v>6.1</v>
      </c>
      <c r="B113" s="115" t="s">
        <v>228</v>
      </c>
      <c r="C113" s="114" t="s">
        <v>282</v>
      </c>
      <c r="D113" s="114" t="s">
        <v>285</v>
      </c>
      <c r="E113" s="118" t="s">
        <v>116</v>
      </c>
      <c r="F113" s="134" t="s">
        <v>387</v>
      </c>
    </row>
    <row r="114">
      <c r="A114" s="114">
        <v>6.2</v>
      </c>
      <c r="B114" s="115" t="s">
        <v>229</v>
      </c>
      <c r="C114" s="114" t="s">
        <v>282</v>
      </c>
      <c r="D114" s="114" t="s">
        <v>285</v>
      </c>
      <c r="E114" s="118" t="s">
        <v>116</v>
      </c>
      <c r="F114" s="135"/>
    </row>
    <row r="115">
      <c r="A115" s="114">
        <v>6.3</v>
      </c>
      <c r="B115" s="115" t="s">
        <v>230</v>
      </c>
      <c r="C115" s="114" t="s">
        <v>282</v>
      </c>
      <c r="D115" s="114" t="s">
        <v>285</v>
      </c>
      <c r="E115" s="118" t="s">
        <v>116</v>
      </c>
      <c r="F115" s="135"/>
    </row>
    <row r="116">
      <c r="A116" s="114">
        <v>6.4</v>
      </c>
      <c r="B116" s="115" t="s">
        <v>231</v>
      </c>
      <c r="C116" s="114" t="s">
        <v>282</v>
      </c>
      <c r="D116" s="114" t="s">
        <v>285</v>
      </c>
      <c r="E116" s="118" t="s">
        <v>116</v>
      </c>
      <c r="F116" s="135"/>
    </row>
    <row r="117">
      <c r="A117" s="114">
        <v>6.5</v>
      </c>
      <c r="B117" s="115" t="s">
        <v>232</v>
      </c>
      <c r="C117" s="114" t="s">
        <v>282</v>
      </c>
      <c r="D117" s="114" t="s">
        <v>285</v>
      </c>
      <c r="E117" s="118" t="s">
        <v>116</v>
      </c>
      <c r="F117" s="136"/>
    </row>
    <row r="118">
      <c r="A118" s="114">
        <v>6.6</v>
      </c>
      <c r="B118" s="115" t="s">
        <v>233</v>
      </c>
      <c r="C118" s="114" t="s">
        <v>282</v>
      </c>
      <c r="D118" s="114" t="s">
        <v>285</v>
      </c>
      <c r="E118" s="118" t="s">
        <v>116</v>
      </c>
      <c r="F118" s="117" t="s">
        <v>388</v>
      </c>
    </row>
    <row r="119">
      <c r="A119" s="114">
        <v>6.7</v>
      </c>
      <c r="B119" s="115" t="s">
        <v>234</v>
      </c>
      <c r="C119" s="114" t="s">
        <v>282</v>
      </c>
      <c r="D119" s="114" t="s">
        <v>285</v>
      </c>
      <c r="E119" s="118" t="s">
        <v>116</v>
      </c>
      <c r="F119" s="117" t="s">
        <v>389</v>
      </c>
    </row>
    <row r="120">
      <c r="A120" s="121"/>
      <c r="B120" s="122"/>
      <c r="C120" s="123"/>
      <c r="D120" s="123"/>
      <c r="E120" s="124"/>
      <c r="F120" s="137"/>
    </row>
    <row r="121">
      <c r="A121" s="126"/>
      <c r="B121" s="127" t="s">
        <v>235</v>
      </c>
      <c r="C121" s="128"/>
      <c r="D121" s="128"/>
      <c r="E121" s="129"/>
      <c r="F121" s="130"/>
    </row>
    <row r="122">
      <c r="A122" s="114">
        <v>7.1</v>
      </c>
      <c r="B122" s="115" t="s">
        <v>236</v>
      </c>
      <c r="C122" s="114" t="s">
        <v>282</v>
      </c>
      <c r="D122" s="114" t="s">
        <v>280</v>
      </c>
      <c r="E122" s="118" t="s">
        <v>116</v>
      </c>
      <c r="F122" s="117" t="s">
        <v>390</v>
      </c>
    </row>
    <row r="123">
      <c r="A123" s="114">
        <v>7.2</v>
      </c>
      <c r="B123" s="115" t="s">
        <v>237</v>
      </c>
      <c r="C123" s="114" t="s">
        <v>282</v>
      </c>
      <c r="D123" s="114" t="s">
        <v>285</v>
      </c>
      <c r="E123" s="118" t="s">
        <v>122</v>
      </c>
      <c r="F123" s="117"/>
    </row>
    <row r="124">
      <c r="A124" s="114">
        <v>7.3</v>
      </c>
      <c r="B124" s="115" t="s">
        <v>238</v>
      </c>
      <c r="C124" s="114" t="s">
        <v>282</v>
      </c>
      <c r="D124" s="114" t="s">
        <v>285</v>
      </c>
      <c r="E124" s="118" t="s">
        <v>116</v>
      </c>
      <c r="F124" s="117" t="s">
        <v>391</v>
      </c>
    </row>
    <row r="125">
      <c r="A125" s="121"/>
      <c r="B125" s="122"/>
      <c r="C125" s="123"/>
      <c r="D125" s="123"/>
      <c r="E125" s="124"/>
      <c r="F125" s="137"/>
    </row>
    <row r="126">
      <c r="A126" s="126"/>
      <c r="B126" s="127" t="s">
        <v>239</v>
      </c>
      <c r="C126" s="128"/>
      <c r="D126" s="128"/>
      <c r="E126" s="129"/>
      <c r="F126" s="130"/>
    </row>
    <row r="127">
      <c r="A127" s="114">
        <v>8.1</v>
      </c>
      <c r="B127" s="115" t="s">
        <v>240</v>
      </c>
      <c r="C127" s="114" t="s">
        <v>282</v>
      </c>
      <c r="D127" s="114" t="s">
        <v>280</v>
      </c>
      <c r="E127" s="118" t="s">
        <v>116</v>
      </c>
      <c r="F127" s="117" t="s">
        <v>392</v>
      </c>
    </row>
    <row r="128">
      <c r="A128" s="114">
        <v>8.2</v>
      </c>
      <c r="B128" s="115" t="s">
        <v>241</v>
      </c>
      <c r="C128" s="114" t="s">
        <v>282</v>
      </c>
      <c r="D128" s="114" t="s">
        <v>285</v>
      </c>
      <c r="E128" s="118" t="s">
        <v>118</v>
      </c>
      <c r="F128" s="117" t="s">
        <v>392</v>
      </c>
    </row>
    <row r="129">
      <c r="A129" s="114">
        <v>8.3</v>
      </c>
      <c r="B129" s="115" t="s">
        <v>242</v>
      </c>
      <c r="C129" s="114" t="s">
        <v>282</v>
      </c>
      <c r="D129" s="114" t="s">
        <v>285</v>
      </c>
      <c r="E129" s="118" t="s">
        <v>118</v>
      </c>
      <c r="F129" s="117" t="s">
        <v>393</v>
      </c>
    </row>
    <row r="130">
      <c r="A130" s="114">
        <v>8.4</v>
      </c>
      <c r="B130" s="115" t="s">
        <v>243</v>
      </c>
      <c r="C130" s="114" t="s">
        <v>282</v>
      </c>
      <c r="D130" s="114" t="s">
        <v>314</v>
      </c>
      <c r="E130" s="118" t="s">
        <v>118</v>
      </c>
      <c r="F130" s="117" t="s">
        <v>394</v>
      </c>
    </row>
    <row r="131">
      <c r="A131" s="114">
        <v>8.5</v>
      </c>
      <c r="B131" s="115" t="s">
        <v>244</v>
      </c>
      <c r="C131" s="114" t="s">
        <v>282</v>
      </c>
      <c r="D131" s="114" t="s">
        <v>285</v>
      </c>
      <c r="E131" s="118" t="s">
        <v>118</v>
      </c>
      <c r="F131" s="117" t="s">
        <v>395</v>
      </c>
    </row>
    <row r="132">
      <c r="A132" s="114">
        <v>8.6</v>
      </c>
      <c r="B132" s="115" t="s">
        <v>245</v>
      </c>
      <c r="C132" s="114" t="s">
        <v>282</v>
      </c>
      <c r="D132" s="114" t="s">
        <v>285</v>
      </c>
      <c r="E132" s="118" t="s">
        <v>118</v>
      </c>
      <c r="F132" s="117" t="s">
        <v>395</v>
      </c>
    </row>
    <row r="133">
      <c r="A133" s="114">
        <v>8.7</v>
      </c>
      <c r="B133" s="115" t="s">
        <v>246</v>
      </c>
      <c r="C133" s="114" t="s">
        <v>282</v>
      </c>
      <c r="D133" s="114" t="s">
        <v>285</v>
      </c>
      <c r="E133" s="118" t="s">
        <v>116</v>
      </c>
      <c r="F133" s="117" t="s">
        <v>396</v>
      </c>
    </row>
    <row r="134">
      <c r="A134" s="114">
        <v>8.8</v>
      </c>
      <c r="B134" s="115" t="s">
        <v>247</v>
      </c>
      <c r="C134" s="114" t="s">
        <v>282</v>
      </c>
      <c r="D134" s="114" t="s">
        <v>285</v>
      </c>
      <c r="E134" s="118" t="s">
        <v>116</v>
      </c>
      <c r="F134" s="117" t="s">
        <v>397</v>
      </c>
    </row>
    <row r="135">
      <c r="A135" s="114">
        <v>8.9</v>
      </c>
      <c r="B135" s="115" t="s">
        <v>248</v>
      </c>
      <c r="C135" s="114" t="s">
        <v>282</v>
      </c>
      <c r="D135" s="114" t="s">
        <v>285</v>
      </c>
      <c r="E135" s="118" t="s">
        <v>118</v>
      </c>
      <c r="F135" s="117" t="s">
        <v>395</v>
      </c>
    </row>
    <row r="136">
      <c r="A136" s="120" t="s">
        <v>249</v>
      </c>
      <c r="B136" s="115" t="s">
        <v>250</v>
      </c>
      <c r="C136" s="114" t="s">
        <v>282</v>
      </c>
      <c r="D136" s="114" t="s">
        <v>285</v>
      </c>
      <c r="E136" s="118" t="s">
        <v>118</v>
      </c>
      <c r="F136" s="117" t="s">
        <v>395</v>
      </c>
    </row>
    <row r="137">
      <c r="A137" s="114">
        <v>8.11</v>
      </c>
      <c r="B137" s="115" t="s">
        <v>251</v>
      </c>
      <c r="C137" s="114" t="s">
        <v>282</v>
      </c>
      <c r="D137" s="114" t="s">
        <v>285</v>
      </c>
      <c r="E137" s="118" t="s">
        <v>118</v>
      </c>
      <c r="F137" s="117" t="s">
        <v>395</v>
      </c>
    </row>
    <row r="138">
      <c r="A138" s="114">
        <v>8.12</v>
      </c>
      <c r="B138" s="115" t="s">
        <v>252</v>
      </c>
      <c r="C138" s="114" t="s">
        <v>282</v>
      </c>
      <c r="D138" s="114" t="s">
        <v>285</v>
      </c>
      <c r="E138" s="118" t="s">
        <v>118</v>
      </c>
      <c r="F138" s="117" t="s">
        <v>395</v>
      </c>
    </row>
    <row r="139">
      <c r="A139" s="132">
        <v>8.13</v>
      </c>
      <c r="B139" s="115" t="s">
        <v>253</v>
      </c>
      <c r="C139" s="114" t="s">
        <v>282</v>
      </c>
      <c r="D139" s="114" t="s">
        <v>285</v>
      </c>
      <c r="E139" s="118" t="s">
        <v>116</v>
      </c>
      <c r="F139" s="117" t="s">
        <v>398</v>
      </c>
    </row>
    <row r="140">
      <c r="A140" s="132">
        <v>8.14</v>
      </c>
      <c r="B140" s="115" t="s">
        <v>254</v>
      </c>
      <c r="C140" s="114" t="s">
        <v>282</v>
      </c>
      <c r="D140" s="114" t="s">
        <v>285</v>
      </c>
      <c r="E140" s="118" t="s">
        <v>116</v>
      </c>
      <c r="F140" s="117" t="s">
        <v>399</v>
      </c>
    </row>
    <row r="141">
      <c r="A141" s="121"/>
      <c r="B141" s="138"/>
      <c r="C141" s="139"/>
      <c r="D141" s="139"/>
      <c r="E141" s="140"/>
      <c r="F141" s="141"/>
    </row>
    <row r="142">
      <c r="A142" s="142"/>
      <c r="B142" s="143" t="s">
        <v>255</v>
      </c>
      <c r="C142" s="142"/>
      <c r="D142" s="142"/>
      <c r="E142" s="144"/>
      <c r="F142" s="145"/>
      <c r="G142" s="146"/>
      <c r="H142" s="146"/>
      <c r="I142" s="146"/>
      <c r="J142" s="146"/>
      <c r="K142" s="146"/>
      <c r="L142" s="146"/>
      <c r="M142" s="146"/>
      <c r="N142" s="146"/>
      <c r="O142" s="146"/>
      <c r="P142" s="146"/>
      <c r="Q142" s="146"/>
      <c r="R142" s="146"/>
      <c r="S142" s="146"/>
      <c r="T142" s="146"/>
      <c r="U142" s="146"/>
      <c r="V142" s="146"/>
      <c r="W142" s="146"/>
      <c r="X142" s="146"/>
      <c r="Y142" s="146"/>
      <c r="Z142" s="146"/>
    </row>
    <row r="143" ht="36.0" customHeight="1">
      <c r="A143" s="147">
        <v>9.1</v>
      </c>
      <c r="B143" s="148" t="s">
        <v>400</v>
      </c>
      <c r="C143" s="147" t="s">
        <v>282</v>
      </c>
      <c r="D143" s="147" t="s">
        <v>280</v>
      </c>
      <c r="E143" s="149" t="s">
        <v>122</v>
      </c>
      <c r="F143" s="150" t="s">
        <v>401</v>
      </c>
    </row>
    <row r="144" ht="24.75" customHeight="1">
      <c r="A144" s="114">
        <v>9.2</v>
      </c>
      <c r="B144" s="115" t="s">
        <v>257</v>
      </c>
      <c r="C144" s="114" t="s">
        <v>282</v>
      </c>
      <c r="D144" s="114" t="s">
        <v>285</v>
      </c>
      <c r="E144" s="118" t="s">
        <v>122</v>
      </c>
      <c r="F144" s="135"/>
    </row>
    <row r="145" ht="27.75" customHeight="1">
      <c r="A145" s="114">
        <v>9.3</v>
      </c>
      <c r="B145" s="115" t="s">
        <v>258</v>
      </c>
      <c r="C145" s="114" t="s">
        <v>282</v>
      </c>
      <c r="D145" s="114" t="s">
        <v>285</v>
      </c>
      <c r="E145" s="118" t="s">
        <v>122</v>
      </c>
      <c r="F145" s="136"/>
    </row>
    <row r="146">
      <c r="A146" s="121"/>
      <c r="B146" s="122"/>
      <c r="C146" s="123"/>
      <c r="D146" s="123"/>
      <c r="E146" s="124"/>
      <c r="F146" s="137"/>
    </row>
    <row r="147">
      <c r="A147" s="126"/>
      <c r="B147" s="127" t="s">
        <v>259</v>
      </c>
      <c r="C147" s="128"/>
      <c r="D147" s="128"/>
      <c r="E147" s="129"/>
      <c r="F147" s="130"/>
    </row>
    <row r="148">
      <c r="A148" s="114">
        <v>10.1</v>
      </c>
      <c r="B148" s="115" t="s">
        <v>260</v>
      </c>
      <c r="C148" s="114" t="s">
        <v>282</v>
      </c>
      <c r="D148" s="114" t="s">
        <v>285</v>
      </c>
      <c r="E148" s="118" t="s">
        <v>116</v>
      </c>
      <c r="F148" s="117" t="s">
        <v>402</v>
      </c>
    </row>
    <row r="149">
      <c r="A149" s="114">
        <v>10.2</v>
      </c>
      <c r="B149" s="115" t="s">
        <v>261</v>
      </c>
      <c r="C149" s="114" t="s">
        <v>282</v>
      </c>
      <c r="D149" s="114" t="s">
        <v>280</v>
      </c>
      <c r="E149" s="118" t="s">
        <v>116</v>
      </c>
      <c r="F149" s="117" t="s">
        <v>403</v>
      </c>
    </row>
    <row r="150">
      <c r="A150" s="121"/>
      <c r="B150" s="122"/>
      <c r="C150" s="123"/>
      <c r="D150" s="123"/>
      <c r="E150" s="124"/>
      <c r="F150" s="137"/>
    </row>
    <row r="151">
      <c r="A151" s="126"/>
      <c r="B151" s="127" t="s">
        <v>262</v>
      </c>
      <c r="C151" s="128"/>
      <c r="D151" s="128"/>
      <c r="E151" s="129"/>
      <c r="F151" s="130"/>
    </row>
    <row r="152">
      <c r="A152" s="151">
        <v>11.1</v>
      </c>
      <c r="B152" s="115" t="s">
        <v>263</v>
      </c>
      <c r="C152" s="114" t="s">
        <v>282</v>
      </c>
      <c r="D152" s="114" t="s">
        <v>280</v>
      </c>
      <c r="E152" s="118" t="s">
        <v>116</v>
      </c>
      <c r="F152" s="117" t="s">
        <v>404</v>
      </c>
    </row>
    <row r="153">
      <c r="A153" s="151">
        <v>11.2</v>
      </c>
      <c r="B153" s="115" t="s">
        <v>264</v>
      </c>
      <c r="C153" s="114" t="s">
        <v>282</v>
      </c>
      <c r="D153" s="114" t="s">
        <v>280</v>
      </c>
      <c r="E153" s="118" t="s">
        <v>122</v>
      </c>
      <c r="F153" s="117"/>
    </row>
    <row r="154">
      <c r="A154" s="151">
        <v>11.3</v>
      </c>
      <c r="B154" s="115" t="s">
        <v>265</v>
      </c>
      <c r="C154" s="114" t="s">
        <v>282</v>
      </c>
      <c r="D154" s="114" t="s">
        <v>280</v>
      </c>
      <c r="E154" s="118" t="s">
        <v>116</v>
      </c>
      <c r="F154" s="117" t="s">
        <v>405</v>
      </c>
    </row>
    <row r="155">
      <c r="A155" s="151">
        <v>11.4</v>
      </c>
      <c r="B155" s="115" t="s">
        <v>266</v>
      </c>
      <c r="C155" s="114" t="s">
        <v>282</v>
      </c>
      <c r="D155" s="114" t="s">
        <v>280</v>
      </c>
      <c r="E155" s="118" t="s">
        <v>116</v>
      </c>
      <c r="F155" s="117" t="s">
        <v>406</v>
      </c>
    </row>
    <row r="156">
      <c r="A156" s="151">
        <v>11.5</v>
      </c>
      <c r="B156" s="115" t="s">
        <v>267</v>
      </c>
      <c r="C156" s="114" t="s">
        <v>282</v>
      </c>
      <c r="D156" s="114" t="s">
        <v>280</v>
      </c>
      <c r="E156" s="118" t="s">
        <v>116</v>
      </c>
      <c r="F156" s="117" t="s">
        <v>407</v>
      </c>
    </row>
    <row r="157">
      <c r="A157" s="151">
        <v>11.6</v>
      </c>
      <c r="B157" s="115" t="s">
        <v>268</v>
      </c>
      <c r="C157" s="114" t="s">
        <v>282</v>
      </c>
      <c r="D157" s="114" t="s">
        <v>285</v>
      </c>
      <c r="E157" s="118" t="s">
        <v>116</v>
      </c>
      <c r="F157" s="117" t="s">
        <v>408</v>
      </c>
    </row>
    <row r="158">
      <c r="A158" s="151">
        <v>11.7</v>
      </c>
      <c r="B158" s="115" t="s">
        <v>269</v>
      </c>
      <c r="C158" s="114" t="s">
        <v>282</v>
      </c>
      <c r="D158" s="114" t="s">
        <v>285</v>
      </c>
      <c r="E158" s="118" t="s">
        <v>116</v>
      </c>
      <c r="F158" s="117" t="s">
        <v>409</v>
      </c>
    </row>
    <row r="159">
      <c r="A159" s="151">
        <v>11.8</v>
      </c>
      <c r="B159" s="115" t="s">
        <v>270</v>
      </c>
      <c r="C159" s="114" t="s">
        <v>282</v>
      </c>
      <c r="D159" s="114" t="s">
        <v>285</v>
      </c>
      <c r="E159" s="118" t="s">
        <v>116</v>
      </c>
      <c r="F159" s="117" t="s">
        <v>410</v>
      </c>
    </row>
    <row r="160">
      <c r="A160" s="151">
        <v>11.9</v>
      </c>
      <c r="B160" s="115" t="s">
        <v>271</v>
      </c>
      <c r="C160" s="114" t="s">
        <v>337</v>
      </c>
      <c r="D160" s="114" t="s">
        <v>285</v>
      </c>
      <c r="E160" s="118" t="s">
        <v>118</v>
      </c>
      <c r="F160" s="117" t="s">
        <v>411</v>
      </c>
    </row>
    <row r="161">
      <c r="A161" s="152"/>
      <c r="B161" s="122"/>
      <c r="C161" s="123"/>
      <c r="D161" s="123"/>
      <c r="E161" s="124"/>
      <c r="F161" s="137"/>
    </row>
    <row r="162">
      <c r="A162" s="126"/>
      <c r="B162" s="127" t="s">
        <v>272</v>
      </c>
      <c r="C162" s="128"/>
      <c r="D162" s="128"/>
      <c r="E162" s="129"/>
      <c r="F162" s="130"/>
    </row>
    <row r="163">
      <c r="A163" s="151">
        <v>12.1</v>
      </c>
      <c r="B163" s="115" t="s">
        <v>412</v>
      </c>
      <c r="C163" s="114" t="s">
        <v>282</v>
      </c>
      <c r="D163" s="114" t="s">
        <v>280</v>
      </c>
      <c r="E163" s="118" t="s">
        <v>116</v>
      </c>
      <c r="F163" s="117" t="s">
        <v>413</v>
      </c>
    </row>
    <row r="164">
      <c r="A164" s="151">
        <v>12.2</v>
      </c>
      <c r="B164" s="115" t="s">
        <v>273</v>
      </c>
      <c r="C164" s="114" t="s">
        <v>282</v>
      </c>
      <c r="D164" s="114" t="s">
        <v>280</v>
      </c>
      <c r="E164" s="118" t="s">
        <v>116</v>
      </c>
      <c r="F164" s="131" t="s">
        <v>414</v>
      </c>
    </row>
    <row r="165">
      <c r="A165" s="151">
        <v>12.3</v>
      </c>
      <c r="B165" s="115" t="s">
        <v>274</v>
      </c>
      <c r="C165" s="114" t="s">
        <v>282</v>
      </c>
      <c r="D165" s="114" t="s">
        <v>314</v>
      </c>
      <c r="E165" s="118" t="s">
        <v>118</v>
      </c>
      <c r="F165" s="117" t="s">
        <v>415</v>
      </c>
    </row>
    <row r="166">
      <c r="A166" s="151">
        <v>12.4</v>
      </c>
      <c r="B166" s="115" t="s">
        <v>275</v>
      </c>
      <c r="C166" s="114" t="s">
        <v>282</v>
      </c>
      <c r="D166" s="114" t="s">
        <v>314</v>
      </c>
      <c r="E166" s="118" t="s">
        <v>118</v>
      </c>
      <c r="F166" s="131" t="s">
        <v>416</v>
      </c>
    </row>
    <row r="167">
      <c r="A167" s="152"/>
      <c r="B167" s="153"/>
      <c r="C167" s="154"/>
      <c r="D167" s="154"/>
      <c r="E167" s="155"/>
      <c r="F167" s="156"/>
    </row>
    <row r="168">
      <c r="F168" s="57"/>
    </row>
    <row r="169">
      <c r="F169" s="57"/>
    </row>
    <row r="170">
      <c r="F170" s="57"/>
    </row>
    <row r="171">
      <c r="F171" s="57"/>
    </row>
    <row r="172">
      <c r="F172" s="57"/>
    </row>
    <row r="173">
      <c r="F173" s="57"/>
    </row>
    <row r="174">
      <c r="F174" s="57"/>
    </row>
    <row r="175">
      <c r="F175" s="57"/>
    </row>
    <row r="176">
      <c r="F176" s="57"/>
    </row>
    <row r="177">
      <c r="F177" s="57"/>
    </row>
    <row r="178">
      <c r="F178" s="57"/>
    </row>
    <row r="179">
      <c r="F179" s="57"/>
    </row>
    <row r="180">
      <c r="F180" s="57"/>
    </row>
    <row r="181">
      <c r="F181" s="57"/>
    </row>
    <row r="182">
      <c r="F182" s="57"/>
    </row>
    <row r="183">
      <c r="F183" s="57"/>
    </row>
    <row r="184">
      <c r="F184" s="57"/>
    </row>
    <row r="185">
      <c r="F185" s="57"/>
    </row>
    <row r="186">
      <c r="F186" s="57"/>
    </row>
    <row r="187">
      <c r="F187" s="57"/>
    </row>
    <row r="188">
      <c r="F188" s="57"/>
    </row>
    <row r="189">
      <c r="F189" s="57"/>
    </row>
    <row r="190">
      <c r="F190" s="57"/>
    </row>
    <row r="191">
      <c r="F191" s="57"/>
    </row>
    <row r="192">
      <c r="F192" s="57"/>
    </row>
    <row r="193">
      <c r="F193" s="57"/>
    </row>
    <row r="194">
      <c r="F194" s="57"/>
    </row>
    <row r="195">
      <c r="F195" s="57"/>
    </row>
    <row r="196">
      <c r="F196" s="57"/>
    </row>
    <row r="197">
      <c r="F197" s="57"/>
    </row>
    <row r="198">
      <c r="F198" s="57"/>
    </row>
    <row r="199">
      <c r="F199" s="57"/>
    </row>
    <row r="200">
      <c r="F200" s="57"/>
    </row>
    <row r="201">
      <c r="F201" s="57"/>
    </row>
    <row r="202">
      <c r="F202" s="57"/>
    </row>
    <row r="203">
      <c r="F203" s="57"/>
    </row>
    <row r="204">
      <c r="F204" s="57"/>
    </row>
    <row r="205">
      <c r="F205" s="57"/>
    </row>
    <row r="206">
      <c r="F206" s="57"/>
    </row>
    <row r="207">
      <c r="F207" s="57"/>
    </row>
    <row r="208">
      <c r="F208" s="57"/>
    </row>
    <row r="209">
      <c r="F209" s="57"/>
    </row>
    <row r="210">
      <c r="F210" s="57"/>
    </row>
    <row r="211">
      <c r="F211" s="57"/>
    </row>
    <row r="212">
      <c r="F212" s="57"/>
    </row>
    <row r="213">
      <c r="F213" s="57"/>
    </row>
    <row r="214">
      <c r="F214" s="57"/>
    </row>
    <row r="215">
      <c r="F215" s="57"/>
    </row>
    <row r="216">
      <c r="F216" s="57"/>
    </row>
    <row r="217">
      <c r="F217" s="57"/>
    </row>
    <row r="218">
      <c r="F218" s="57"/>
    </row>
    <row r="219">
      <c r="F219" s="57"/>
    </row>
    <row r="220">
      <c r="F220" s="57"/>
    </row>
    <row r="221">
      <c r="F221" s="57"/>
    </row>
    <row r="222">
      <c r="F222" s="57"/>
    </row>
    <row r="223">
      <c r="F223" s="57"/>
    </row>
    <row r="224">
      <c r="F224" s="57"/>
    </row>
    <row r="225">
      <c r="F225" s="57"/>
    </row>
    <row r="226">
      <c r="F226" s="57"/>
    </row>
    <row r="227">
      <c r="F227" s="57"/>
    </row>
    <row r="228">
      <c r="F228" s="57"/>
    </row>
    <row r="229">
      <c r="F229" s="57"/>
    </row>
    <row r="230">
      <c r="F230" s="57"/>
    </row>
    <row r="231">
      <c r="F231" s="57"/>
    </row>
    <row r="232">
      <c r="F232" s="57"/>
    </row>
    <row r="233">
      <c r="F233" s="57"/>
    </row>
    <row r="234">
      <c r="F234" s="57"/>
    </row>
    <row r="235">
      <c r="F235" s="57"/>
    </row>
    <row r="236">
      <c r="F236" s="57"/>
    </row>
    <row r="237">
      <c r="F237" s="57"/>
    </row>
    <row r="238">
      <c r="F238" s="57"/>
    </row>
    <row r="239">
      <c r="F239" s="57"/>
    </row>
    <row r="240">
      <c r="F240" s="57"/>
    </row>
    <row r="241">
      <c r="F241" s="57"/>
    </row>
    <row r="242">
      <c r="F242" s="57"/>
    </row>
    <row r="243">
      <c r="F243" s="57"/>
    </row>
    <row r="244">
      <c r="F244" s="57"/>
    </row>
    <row r="245">
      <c r="F245" s="57"/>
    </row>
    <row r="246">
      <c r="F246" s="57"/>
    </row>
    <row r="247">
      <c r="F247" s="57"/>
    </row>
    <row r="248">
      <c r="F248" s="57"/>
    </row>
    <row r="249">
      <c r="F249" s="57"/>
    </row>
    <row r="250">
      <c r="F250" s="57"/>
    </row>
    <row r="251">
      <c r="F251" s="57"/>
    </row>
    <row r="252">
      <c r="F252" s="57"/>
    </row>
    <row r="253">
      <c r="F253" s="57"/>
    </row>
    <row r="254">
      <c r="F254" s="57"/>
    </row>
    <row r="255">
      <c r="F255" s="57"/>
    </row>
    <row r="256">
      <c r="F256" s="57"/>
    </row>
    <row r="257">
      <c r="F257" s="57"/>
    </row>
    <row r="258">
      <c r="F258" s="57"/>
    </row>
    <row r="259">
      <c r="F259" s="57"/>
    </row>
    <row r="260">
      <c r="F260" s="57"/>
    </row>
    <row r="261">
      <c r="F261" s="57"/>
    </row>
    <row r="262">
      <c r="F262" s="57"/>
    </row>
    <row r="263">
      <c r="F263" s="57"/>
    </row>
    <row r="264">
      <c r="F264" s="57"/>
    </row>
    <row r="265">
      <c r="F265" s="57"/>
    </row>
    <row r="266">
      <c r="F266" s="57"/>
    </row>
    <row r="267">
      <c r="F267" s="57"/>
    </row>
    <row r="268">
      <c r="F268" s="57"/>
    </row>
    <row r="269">
      <c r="F269" s="57"/>
    </row>
    <row r="270">
      <c r="F270" s="57"/>
    </row>
    <row r="271">
      <c r="F271" s="57"/>
    </row>
    <row r="272">
      <c r="F272" s="57"/>
    </row>
    <row r="273">
      <c r="F273" s="57"/>
    </row>
    <row r="274">
      <c r="F274" s="57"/>
    </row>
    <row r="275">
      <c r="F275" s="57"/>
    </row>
    <row r="276">
      <c r="F276" s="57"/>
    </row>
    <row r="277">
      <c r="F277" s="57"/>
    </row>
    <row r="278">
      <c r="F278" s="57"/>
    </row>
    <row r="279">
      <c r="F279" s="57"/>
    </row>
    <row r="280">
      <c r="F280" s="57"/>
    </row>
    <row r="281">
      <c r="F281" s="57"/>
    </row>
    <row r="282">
      <c r="F282" s="57"/>
    </row>
    <row r="283">
      <c r="F283" s="57"/>
    </row>
    <row r="284">
      <c r="F284" s="57"/>
    </row>
    <row r="285">
      <c r="F285" s="57"/>
    </row>
    <row r="286">
      <c r="F286" s="57"/>
    </row>
    <row r="287">
      <c r="F287" s="57"/>
    </row>
    <row r="288">
      <c r="F288" s="57"/>
    </row>
    <row r="289">
      <c r="F289" s="57"/>
    </row>
    <row r="290">
      <c r="F290" s="57"/>
    </row>
    <row r="291">
      <c r="F291" s="57"/>
    </row>
    <row r="292">
      <c r="F292" s="57"/>
    </row>
    <row r="293">
      <c r="F293" s="57"/>
    </row>
    <row r="294">
      <c r="F294" s="57"/>
    </row>
    <row r="295">
      <c r="F295" s="57"/>
    </row>
    <row r="296">
      <c r="F296" s="57"/>
    </row>
    <row r="297">
      <c r="F297" s="57"/>
    </row>
    <row r="298">
      <c r="F298" s="57"/>
    </row>
    <row r="299">
      <c r="F299" s="57"/>
    </row>
    <row r="300">
      <c r="F300" s="57"/>
    </row>
    <row r="301">
      <c r="F301" s="57"/>
    </row>
    <row r="302">
      <c r="F302" s="57"/>
    </row>
    <row r="303">
      <c r="F303" s="57"/>
    </row>
    <row r="304">
      <c r="F304" s="57"/>
    </row>
    <row r="305">
      <c r="F305" s="57"/>
    </row>
    <row r="306">
      <c r="F306" s="57"/>
    </row>
    <row r="307">
      <c r="F307" s="57"/>
    </row>
    <row r="308">
      <c r="F308" s="57"/>
    </row>
    <row r="309">
      <c r="F309" s="57"/>
    </row>
    <row r="310">
      <c r="F310" s="57"/>
    </row>
    <row r="311">
      <c r="F311" s="57"/>
    </row>
    <row r="312">
      <c r="F312" s="57"/>
    </row>
    <row r="313">
      <c r="F313" s="57"/>
    </row>
    <row r="314">
      <c r="F314" s="57"/>
    </row>
    <row r="315">
      <c r="F315" s="57"/>
    </row>
    <row r="316">
      <c r="F316" s="57"/>
    </row>
    <row r="317">
      <c r="F317" s="57"/>
    </row>
    <row r="318">
      <c r="F318" s="57"/>
    </row>
    <row r="319">
      <c r="F319" s="57"/>
    </row>
    <row r="320">
      <c r="F320" s="57"/>
    </row>
    <row r="321">
      <c r="F321" s="57"/>
    </row>
    <row r="322">
      <c r="F322" s="57"/>
    </row>
    <row r="323">
      <c r="F323" s="57"/>
    </row>
    <row r="324">
      <c r="F324" s="57"/>
    </row>
    <row r="325">
      <c r="F325" s="57"/>
    </row>
    <row r="326">
      <c r="F326" s="57"/>
    </row>
    <row r="327">
      <c r="F327" s="57"/>
    </row>
    <row r="328">
      <c r="F328" s="57"/>
    </row>
    <row r="329">
      <c r="F329" s="57"/>
    </row>
    <row r="330">
      <c r="F330" s="57"/>
    </row>
    <row r="331">
      <c r="F331" s="57"/>
    </row>
    <row r="332">
      <c r="F332" s="57"/>
    </row>
    <row r="333">
      <c r="F333" s="57"/>
    </row>
    <row r="334">
      <c r="F334" s="57"/>
    </row>
    <row r="335">
      <c r="F335" s="57"/>
    </row>
    <row r="336">
      <c r="F336" s="57"/>
    </row>
    <row r="337">
      <c r="F337" s="57"/>
    </row>
    <row r="338">
      <c r="F338" s="57"/>
    </row>
    <row r="339">
      <c r="F339" s="57"/>
    </row>
    <row r="340">
      <c r="F340" s="57"/>
    </row>
    <row r="341">
      <c r="F341" s="57"/>
    </row>
    <row r="342">
      <c r="F342" s="57"/>
    </row>
    <row r="343">
      <c r="F343" s="57"/>
    </row>
    <row r="344">
      <c r="F344" s="57"/>
    </row>
    <row r="345">
      <c r="F345" s="57"/>
    </row>
    <row r="346">
      <c r="F346" s="57"/>
    </row>
    <row r="347">
      <c r="F347" s="57"/>
    </row>
    <row r="348">
      <c r="F348" s="57"/>
    </row>
    <row r="349">
      <c r="F349" s="57"/>
    </row>
    <row r="350">
      <c r="F350" s="57"/>
    </row>
    <row r="351">
      <c r="F351" s="57"/>
    </row>
    <row r="352">
      <c r="F352" s="57"/>
    </row>
    <row r="353">
      <c r="F353" s="57"/>
    </row>
    <row r="354">
      <c r="F354" s="57"/>
    </row>
    <row r="355">
      <c r="F355" s="57"/>
    </row>
    <row r="356">
      <c r="F356" s="57"/>
    </row>
    <row r="357">
      <c r="F357" s="57"/>
    </row>
    <row r="358">
      <c r="F358" s="57"/>
    </row>
    <row r="359">
      <c r="F359" s="57"/>
    </row>
    <row r="360">
      <c r="F360" s="57"/>
    </row>
    <row r="361">
      <c r="F361" s="57"/>
    </row>
    <row r="362">
      <c r="F362" s="57"/>
    </row>
    <row r="363">
      <c r="F363" s="57"/>
    </row>
    <row r="364">
      <c r="F364" s="57"/>
    </row>
    <row r="365">
      <c r="F365" s="57"/>
    </row>
    <row r="366">
      <c r="F366" s="57"/>
    </row>
    <row r="367">
      <c r="F367" s="57"/>
    </row>
    <row r="368">
      <c r="F368" s="57"/>
    </row>
    <row r="369">
      <c r="F369" s="57"/>
    </row>
    <row r="370">
      <c r="F370" s="57"/>
    </row>
    <row r="371">
      <c r="F371" s="57"/>
    </row>
    <row r="372">
      <c r="F372" s="57"/>
    </row>
    <row r="373">
      <c r="F373" s="57"/>
    </row>
    <row r="374">
      <c r="F374" s="57"/>
    </row>
    <row r="375">
      <c r="F375" s="57"/>
    </row>
    <row r="376">
      <c r="F376" s="57"/>
    </row>
    <row r="377">
      <c r="F377" s="57"/>
    </row>
    <row r="378">
      <c r="F378" s="57"/>
    </row>
    <row r="379">
      <c r="F379" s="57"/>
    </row>
    <row r="380">
      <c r="F380" s="57"/>
    </row>
    <row r="381">
      <c r="F381" s="57"/>
    </row>
    <row r="382">
      <c r="F382" s="57"/>
    </row>
    <row r="383">
      <c r="F383" s="57"/>
    </row>
    <row r="384">
      <c r="F384" s="57"/>
    </row>
    <row r="385">
      <c r="F385" s="57"/>
    </row>
    <row r="386">
      <c r="F386" s="57"/>
    </row>
    <row r="387">
      <c r="F387" s="57"/>
    </row>
    <row r="388">
      <c r="F388" s="57"/>
    </row>
    <row r="389">
      <c r="F389" s="57"/>
    </row>
    <row r="390">
      <c r="F390" s="57"/>
    </row>
    <row r="391">
      <c r="F391" s="57"/>
    </row>
    <row r="392">
      <c r="F392" s="57"/>
    </row>
    <row r="393">
      <c r="F393" s="57"/>
    </row>
    <row r="394">
      <c r="F394" s="57"/>
    </row>
    <row r="395">
      <c r="F395" s="57"/>
    </row>
    <row r="396">
      <c r="F396" s="57"/>
    </row>
    <row r="397">
      <c r="F397" s="57"/>
    </row>
    <row r="398">
      <c r="F398" s="57"/>
    </row>
    <row r="399">
      <c r="F399" s="57"/>
    </row>
    <row r="400">
      <c r="F400" s="57"/>
    </row>
    <row r="401">
      <c r="F401" s="57"/>
    </row>
    <row r="402">
      <c r="F402" s="57"/>
    </row>
    <row r="403">
      <c r="F403" s="57"/>
    </row>
    <row r="404">
      <c r="F404" s="57"/>
    </row>
    <row r="405">
      <c r="F405" s="57"/>
    </row>
    <row r="406">
      <c r="F406" s="57"/>
    </row>
    <row r="407">
      <c r="F407" s="57"/>
    </row>
    <row r="408">
      <c r="F408" s="57"/>
    </row>
    <row r="409">
      <c r="F409" s="57"/>
    </row>
    <row r="410">
      <c r="F410" s="57"/>
    </row>
    <row r="411">
      <c r="F411" s="57"/>
    </row>
    <row r="412">
      <c r="F412" s="57"/>
    </row>
    <row r="413">
      <c r="F413" s="57"/>
    </row>
    <row r="414">
      <c r="F414" s="57"/>
    </row>
    <row r="415">
      <c r="F415" s="57"/>
    </row>
    <row r="416">
      <c r="F416" s="57"/>
    </row>
    <row r="417">
      <c r="F417" s="57"/>
    </row>
    <row r="418">
      <c r="F418" s="57"/>
    </row>
    <row r="419">
      <c r="F419" s="57"/>
    </row>
    <row r="420">
      <c r="F420" s="57"/>
    </row>
    <row r="421">
      <c r="F421" s="57"/>
    </row>
    <row r="422">
      <c r="F422" s="57"/>
    </row>
    <row r="423">
      <c r="F423" s="57"/>
    </row>
    <row r="424">
      <c r="F424" s="57"/>
    </row>
    <row r="425">
      <c r="F425" s="57"/>
    </row>
    <row r="426">
      <c r="F426" s="57"/>
    </row>
    <row r="427">
      <c r="F427" s="57"/>
    </row>
    <row r="428">
      <c r="F428" s="57"/>
    </row>
    <row r="429">
      <c r="F429" s="57"/>
    </row>
    <row r="430">
      <c r="F430" s="57"/>
    </row>
    <row r="431">
      <c r="F431" s="57"/>
    </row>
    <row r="432">
      <c r="F432" s="57"/>
    </row>
    <row r="433">
      <c r="F433" s="57"/>
    </row>
    <row r="434">
      <c r="F434" s="57"/>
    </row>
    <row r="435">
      <c r="F435" s="57"/>
    </row>
    <row r="436">
      <c r="F436" s="57"/>
    </row>
    <row r="437">
      <c r="F437" s="57"/>
    </row>
    <row r="438">
      <c r="F438" s="57"/>
    </row>
    <row r="439">
      <c r="F439" s="57"/>
    </row>
    <row r="440">
      <c r="F440" s="57"/>
    </row>
    <row r="441">
      <c r="F441" s="57"/>
    </row>
    <row r="442">
      <c r="F442" s="57"/>
    </row>
    <row r="443">
      <c r="F443" s="57"/>
    </row>
    <row r="444">
      <c r="F444" s="57"/>
    </row>
    <row r="445">
      <c r="F445" s="57"/>
    </row>
    <row r="446">
      <c r="F446" s="57"/>
    </row>
    <row r="447">
      <c r="F447" s="57"/>
    </row>
    <row r="448">
      <c r="F448" s="57"/>
    </row>
    <row r="449">
      <c r="F449" s="57"/>
    </row>
    <row r="450">
      <c r="F450" s="57"/>
    </row>
    <row r="451">
      <c r="F451" s="57"/>
    </row>
    <row r="452">
      <c r="F452" s="57"/>
    </row>
    <row r="453">
      <c r="F453" s="57"/>
    </row>
    <row r="454">
      <c r="F454" s="57"/>
    </row>
    <row r="455">
      <c r="F455" s="57"/>
    </row>
    <row r="456">
      <c r="F456" s="57"/>
    </row>
    <row r="457">
      <c r="F457" s="57"/>
    </row>
    <row r="458">
      <c r="F458" s="57"/>
    </row>
    <row r="459">
      <c r="F459" s="57"/>
    </row>
    <row r="460">
      <c r="F460" s="57"/>
    </row>
    <row r="461">
      <c r="F461" s="57"/>
    </row>
    <row r="462">
      <c r="F462" s="57"/>
    </row>
    <row r="463">
      <c r="F463" s="57"/>
    </row>
    <row r="464">
      <c r="F464" s="57"/>
    </row>
    <row r="465">
      <c r="F465" s="57"/>
    </row>
    <row r="466">
      <c r="F466" s="57"/>
    </row>
    <row r="467">
      <c r="F467" s="57"/>
    </row>
    <row r="468">
      <c r="F468" s="57"/>
    </row>
    <row r="469">
      <c r="F469" s="57"/>
    </row>
    <row r="470">
      <c r="F470" s="57"/>
    </row>
    <row r="471">
      <c r="F471" s="57"/>
    </row>
    <row r="472">
      <c r="F472" s="57"/>
    </row>
    <row r="473">
      <c r="F473" s="57"/>
    </row>
    <row r="474">
      <c r="F474" s="57"/>
    </row>
    <row r="475">
      <c r="F475" s="57"/>
    </row>
    <row r="476">
      <c r="F476" s="57"/>
    </row>
    <row r="477">
      <c r="F477" s="57"/>
    </row>
    <row r="478">
      <c r="F478" s="57"/>
    </row>
    <row r="479">
      <c r="F479" s="57"/>
    </row>
    <row r="480">
      <c r="F480" s="57"/>
    </row>
    <row r="481">
      <c r="F481" s="57"/>
    </row>
    <row r="482">
      <c r="F482" s="57"/>
    </row>
    <row r="483">
      <c r="F483" s="57"/>
    </row>
    <row r="484">
      <c r="F484" s="57"/>
    </row>
    <row r="485">
      <c r="F485" s="57"/>
    </row>
    <row r="486">
      <c r="F486" s="57"/>
    </row>
    <row r="487">
      <c r="F487" s="57"/>
    </row>
    <row r="488">
      <c r="F488" s="57"/>
    </row>
    <row r="489">
      <c r="F489" s="57"/>
    </row>
    <row r="490">
      <c r="F490" s="57"/>
    </row>
    <row r="491">
      <c r="F491" s="57"/>
    </row>
    <row r="492">
      <c r="F492" s="57"/>
    </row>
    <row r="493">
      <c r="F493" s="57"/>
    </row>
    <row r="494">
      <c r="F494" s="57"/>
    </row>
    <row r="495">
      <c r="F495" s="57"/>
    </row>
    <row r="496">
      <c r="F496" s="57"/>
    </row>
    <row r="497">
      <c r="F497" s="57"/>
    </row>
    <row r="498">
      <c r="F498" s="57"/>
    </row>
    <row r="499">
      <c r="F499" s="57"/>
    </row>
    <row r="500">
      <c r="F500" s="57"/>
    </row>
    <row r="501">
      <c r="F501" s="57"/>
    </row>
    <row r="502">
      <c r="F502" s="57"/>
    </row>
    <row r="503">
      <c r="F503" s="57"/>
    </row>
    <row r="504">
      <c r="F504" s="57"/>
    </row>
    <row r="505">
      <c r="F505" s="57"/>
    </row>
    <row r="506">
      <c r="F506" s="57"/>
    </row>
    <row r="507">
      <c r="F507" s="57"/>
    </row>
    <row r="508">
      <c r="F508" s="57"/>
    </row>
    <row r="509">
      <c r="F509" s="57"/>
    </row>
    <row r="510">
      <c r="F510" s="57"/>
    </row>
    <row r="511">
      <c r="F511" s="57"/>
    </row>
    <row r="512">
      <c r="F512" s="57"/>
    </row>
    <row r="513">
      <c r="F513" s="57"/>
    </row>
    <row r="514">
      <c r="F514" s="57"/>
    </row>
    <row r="515">
      <c r="F515" s="57"/>
    </row>
    <row r="516">
      <c r="F516" s="57"/>
    </row>
    <row r="517">
      <c r="F517" s="57"/>
    </row>
    <row r="518">
      <c r="F518" s="57"/>
    </row>
    <row r="519">
      <c r="F519" s="57"/>
    </row>
    <row r="520">
      <c r="F520" s="57"/>
    </row>
    <row r="521">
      <c r="F521" s="57"/>
    </row>
    <row r="522">
      <c r="F522" s="57"/>
    </row>
    <row r="523">
      <c r="F523" s="57"/>
    </row>
    <row r="524">
      <c r="F524" s="57"/>
    </row>
    <row r="525">
      <c r="F525" s="57"/>
    </row>
    <row r="526">
      <c r="F526" s="57"/>
    </row>
    <row r="527">
      <c r="F527" s="57"/>
    </row>
    <row r="528">
      <c r="F528" s="57"/>
    </row>
    <row r="529">
      <c r="F529" s="57"/>
    </row>
    <row r="530">
      <c r="F530" s="57"/>
    </row>
    <row r="531">
      <c r="F531" s="57"/>
    </row>
    <row r="532">
      <c r="F532" s="57"/>
    </row>
    <row r="533">
      <c r="F533" s="57"/>
    </row>
    <row r="534">
      <c r="F534" s="57"/>
    </row>
    <row r="535">
      <c r="F535" s="57"/>
    </row>
    <row r="536">
      <c r="F536" s="57"/>
    </row>
    <row r="537">
      <c r="F537" s="57"/>
    </row>
    <row r="538">
      <c r="F538" s="57"/>
    </row>
    <row r="539">
      <c r="F539" s="57"/>
    </row>
    <row r="540">
      <c r="F540" s="57"/>
    </row>
    <row r="541">
      <c r="F541" s="57"/>
    </row>
    <row r="542">
      <c r="F542" s="57"/>
    </row>
    <row r="543">
      <c r="F543" s="57"/>
    </row>
    <row r="544">
      <c r="F544" s="57"/>
    </row>
    <row r="545">
      <c r="F545" s="57"/>
    </row>
    <row r="546">
      <c r="F546" s="57"/>
    </row>
    <row r="547">
      <c r="F547" s="57"/>
    </row>
    <row r="548">
      <c r="F548" s="57"/>
    </row>
    <row r="549">
      <c r="F549" s="57"/>
    </row>
    <row r="550">
      <c r="F550" s="57"/>
    </row>
    <row r="551">
      <c r="F551" s="57"/>
    </row>
    <row r="552">
      <c r="F552" s="57"/>
    </row>
    <row r="553">
      <c r="F553" s="57"/>
    </row>
    <row r="554">
      <c r="F554" s="57"/>
    </row>
    <row r="555">
      <c r="F555" s="57"/>
    </row>
    <row r="556">
      <c r="F556" s="57"/>
    </row>
    <row r="557">
      <c r="F557" s="57"/>
    </row>
    <row r="558">
      <c r="F558" s="57"/>
    </row>
    <row r="559">
      <c r="F559" s="57"/>
    </row>
    <row r="560">
      <c r="F560" s="57"/>
    </row>
    <row r="561">
      <c r="F561" s="57"/>
    </row>
    <row r="562">
      <c r="F562" s="57"/>
    </row>
    <row r="563">
      <c r="F563" s="57"/>
    </row>
    <row r="564">
      <c r="F564" s="57"/>
    </row>
    <row r="565">
      <c r="F565" s="57"/>
    </row>
    <row r="566">
      <c r="F566" s="57"/>
    </row>
    <row r="567">
      <c r="F567" s="57"/>
    </row>
    <row r="568">
      <c r="F568" s="57"/>
    </row>
    <row r="569">
      <c r="F569" s="57"/>
    </row>
    <row r="570">
      <c r="F570" s="57"/>
    </row>
    <row r="571">
      <c r="F571" s="57"/>
    </row>
    <row r="572">
      <c r="F572" s="57"/>
    </row>
    <row r="573">
      <c r="F573" s="57"/>
    </row>
    <row r="574">
      <c r="F574" s="57"/>
    </row>
    <row r="575">
      <c r="F575" s="57"/>
    </row>
    <row r="576">
      <c r="F576" s="57"/>
    </row>
    <row r="577">
      <c r="F577" s="57"/>
    </row>
    <row r="578">
      <c r="F578" s="57"/>
    </row>
    <row r="579">
      <c r="F579" s="57"/>
    </row>
    <row r="580">
      <c r="F580" s="57"/>
    </row>
    <row r="581">
      <c r="F581" s="57"/>
    </row>
    <row r="582">
      <c r="F582" s="57"/>
    </row>
    <row r="583">
      <c r="F583" s="57"/>
    </row>
    <row r="584">
      <c r="F584" s="57"/>
    </row>
    <row r="585">
      <c r="F585" s="57"/>
    </row>
    <row r="586">
      <c r="F586" s="57"/>
    </row>
    <row r="587">
      <c r="F587" s="57"/>
    </row>
    <row r="588">
      <c r="F588" s="57"/>
    </row>
    <row r="589">
      <c r="F589" s="57"/>
    </row>
    <row r="590">
      <c r="F590" s="57"/>
    </row>
    <row r="591">
      <c r="F591" s="57"/>
    </row>
    <row r="592">
      <c r="F592" s="57"/>
    </row>
    <row r="593">
      <c r="F593" s="57"/>
    </row>
    <row r="594">
      <c r="F594" s="57"/>
    </row>
    <row r="595">
      <c r="F595" s="57"/>
    </row>
    <row r="596">
      <c r="F596" s="57"/>
    </row>
    <row r="597">
      <c r="F597" s="57"/>
    </row>
    <row r="598">
      <c r="F598" s="57"/>
    </row>
    <row r="599">
      <c r="F599" s="57"/>
    </row>
    <row r="600">
      <c r="F600" s="57"/>
    </row>
    <row r="601">
      <c r="F601" s="57"/>
    </row>
    <row r="602">
      <c r="F602" s="57"/>
    </row>
    <row r="603">
      <c r="F603" s="57"/>
    </row>
    <row r="604">
      <c r="F604" s="57"/>
    </row>
    <row r="605">
      <c r="F605" s="57"/>
    </row>
    <row r="606">
      <c r="F606" s="57"/>
    </row>
    <row r="607">
      <c r="F607" s="57"/>
    </row>
    <row r="608">
      <c r="F608" s="57"/>
    </row>
    <row r="609">
      <c r="F609" s="57"/>
    </row>
    <row r="610">
      <c r="F610" s="57"/>
    </row>
    <row r="611">
      <c r="F611" s="57"/>
    </row>
    <row r="612">
      <c r="F612" s="57"/>
    </row>
    <row r="613">
      <c r="F613" s="57"/>
    </row>
    <row r="614">
      <c r="F614" s="57"/>
    </row>
    <row r="615">
      <c r="F615" s="57"/>
    </row>
    <row r="616">
      <c r="F616" s="57"/>
    </row>
    <row r="617">
      <c r="F617" s="57"/>
    </row>
    <row r="618">
      <c r="F618" s="57"/>
    </row>
    <row r="619">
      <c r="F619" s="57"/>
    </row>
    <row r="620">
      <c r="F620" s="57"/>
    </row>
    <row r="621">
      <c r="F621" s="57"/>
    </row>
    <row r="622">
      <c r="F622" s="57"/>
    </row>
    <row r="623">
      <c r="F623" s="57"/>
    </row>
    <row r="624">
      <c r="F624" s="57"/>
    </row>
    <row r="625">
      <c r="F625" s="57"/>
    </row>
    <row r="626">
      <c r="F626" s="57"/>
    </row>
    <row r="627">
      <c r="F627" s="57"/>
    </row>
    <row r="628">
      <c r="F628" s="57"/>
    </row>
    <row r="629">
      <c r="F629" s="57"/>
    </row>
    <row r="630">
      <c r="F630" s="57"/>
    </row>
    <row r="631">
      <c r="F631" s="57"/>
    </row>
    <row r="632">
      <c r="F632" s="57"/>
    </row>
    <row r="633">
      <c r="F633" s="57"/>
    </row>
    <row r="634">
      <c r="F634" s="57"/>
    </row>
    <row r="635">
      <c r="F635" s="57"/>
    </row>
    <row r="636">
      <c r="F636" s="57"/>
    </row>
    <row r="637">
      <c r="F637" s="57"/>
    </row>
    <row r="638">
      <c r="F638" s="57"/>
    </row>
    <row r="639">
      <c r="F639" s="57"/>
    </row>
    <row r="640">
      <c r="F640" s="57"/>
    </row>
    <row r="641">
      <c r="F641" s="57"/>
    </row>
    <row r="642">
      <c r="F642" s="57"/>
    </row>
    <row r="643">
      <c r="F643" s="57"/>
    </row>
    <row r="644">
      <c r="F644" s="57"/>
    </row>
    <row r="645">
      <c r="F645" s="57"/>
    </row>
    <row r="646">
      <c r="F646" s="57"/>
    </row>
    <row r="647">
      <c r="F647" s="57"/>
    </row>
    <row r="648">
      <c r="F648" s="57"/>
    </row>
    <row r="649">
      <c r="F649" s="57"/>
    </row>
    <row r="650">
      <c r="F650" s="57"/>
    </row>
    <row r="651">
      <c r="F651" s="57"/>
    </row>
    <row r="652">
      <c r="F652" s="57"/>
    </row>
    <row r="653">
      <c r="F653" s="57"/>
    </row>
    <row r="654">
      <c r="F654" s="57"/>
    </row>
    <row r="655">
      <c r="F655" s="57"/>
    </row>
    <row r="656">
      <c r="F656" s="57"/>
    </row>
    <row r="657">
      <c r="F657" s="57"/>
    </row>
    <row r="658">
      <c r="F658" s="57"/>
    </row>
    <row r="659">
      <c r="F659" s="57"/>
    </row>
    <row r="660">
      <c r="F660" s="57"/>
    </row>
    <row r="661">
      <c r="F661" s="57"/>
    </row>
    <row r="662">
      <c r="F662" s="57"/>
    </row>
    <row r="663">
      <c r="F663" s="57"/>
    </row>
    <row r="664">
      <c r="F664" s="57"/>
    </row>
    <row r="665">
      <c r="F665" s="57"/>
    </row>
    <row r="666">
      <c r="F666" s="57"/>
    </row>
    <row r="667">
      <c r="F667" s="57"/>
    </row>
    <row r="668">
      <c r="F668" s="57"/>
    </row>
    <row r="669">
      <c r="F669" s="57"/>
    </row>
    <row r="670">
      <c r="F670" s="57"/>
    </row>
    <row r="671">
      <c r="F671" s="57"/>
    </row>
    <row r="672">
      <c r="F672" s="57"/>
    </row>
    <row r="673">
      <c r="F673" s="57"/>
    </row>
    <row r="674">
      <c r="F674" s="57"/>
    </row>
    <row r="675">
      <c r="F675" s="57"/>
    </row>
    <row r="676">
      <c r="F676" s="57"/>
    </row>
    <row r="677">
      <c r="F677" s="57"/>
    </row>
    <row r="678">
      <c r="F678" s="57"/>
    </row>
    <row r="679">
      <c r="F679" s="57"/>
    </row>
    <row r="680">
      <c r="F680" s="57"/>
    </row>
    <row r="681">
      <c r="F681" s="57"/>
    </row>
    <row r="682">
      <c r="F682" s="57"/>
    </row>
    <row r="683">
      <c r="F683" s="57"/>
    </row>
    <row r="684">
      <c r="F684" s="57"/>
    </row>
    <row r="685">
      <c r="F685" s="57"/>
    </row>
    <row r="686">
      <c r="F686" s="57"/>
    </row>
    <row r="687">
      <c r="F687" s="57"/>
    </row>
    <row r="688">
      <c r="F688" s="57"/>
    </row>
    <row r="689">
      <c r="F689" s="57"/>
    </row>
    <row r="690">
      <c r="F690" s="57"/>
    </row>
    <row r="691">
      <c r="F691" s="57"/>
    </row>
    <row r="692">
      <c r="F692" s="57"/>
    </row>
    <row r="693">
      <c r="F693" s="57"/>
    </row>
    <row r="694">
      <c r="F694" s="57"/>
    </row>
    <row r="695">
      <c r="F695" s="57"/>
    </row>
    <row r="696">
      <c r="F696" s="57"/>
    </row>
    <row r="697">
      <c r="F697" s="57"/>
    </row>
    <row r="698">
      <c r="F698" s="57"/>
    </row>
    <row r="699">
      <c r="F699" s="57"/>
    </row>
    <row r="700">
      <c r="F700" s="57"/>
    </row>
    <row r="701">
      <c r="F701" s="57"/>
    </row>
    <row r="702">
      <c r="F702" s="57"/>
    </row>
    <row r="703">
      <c r="F703" s="57"/>
    </row>
    <row r="704">
      <c r="F704" s="57"/>
    </row>
    <row r="705">
      <c r="F705" s="57"/>
    </row>
    <row r="706">
      <c r="F706" s="57"/>
    </row>
    <row r="707">
      <c r="F707" s="57"/>
    </row>
    <row r="708">
      <c r="F708" s="57"/>
    </row>
    <row r="709">
      <c r="F709" s="57"/>
    </row>
    <row r="710">
      <c r="F710" s="57"/>
    </row>
    <row r="711">
      <c r="F711" s="57"/>
    </row>
    <row r="712">
      <c r="F712" s="57"/>
    </row>
    <row r="713">
      <c r="F713" s="57"/>
    </row>
    <row r="714">
      <c r="F714" s="57"/>
    </row>
    <row r="715">
      <c r="F715" s="57"/>
    </row>
    <row r="716">
      <c r="F716" s="57"/>
    </row>
    <row r="717">
      <c r="F717" s="57"/>
    </row>
    <row r="718">
      <c r="F718" s="57"/>
    </row>
    <row r="719">
      <c r="F719" s="57"/>
    </row>
    <row r="720">
      <c r="F720" s="57"/>
    </row>
    <row r="721">
      <c r="F721" s="57"/>
    </row>
    <row r="722">
      <c r="F722" s="57"/>
    </row>
    <row r="723">
      <c r="F723" s="57"/>
    </row>
    <row r="724">
      <c r="F724" s="57"/>
    </row>
    <row r="725">
      <c r="F725" s="57"/>
    </row>
    <row r="726">
      <c r="F726" s="57"/>
    </row>
    <row r="727">
      <c r="F727" s="57"/>
    </row>
    <row r="728">
      <c r="F728" s="57"/>
    </row>
    <row r="729">
      <c r="F729" s="57"/>
    </row>
    <row r="730">
      <c r="F730" s="57"/>
    </row>
    <row r="731">
      <c r="F731" s="57"/>
    </row>
    <row r="732">
      <c r="F732" s="57"/>
    </row>
    <row r="733">
      <c r="F733" s="57"/>
    </row>
    <row r="734">
      <c r="F734" s="57"/>
    </row>
    <row r="735">
      <c r="F735" s="57"/>
    </row>
    <row r="736">
      <c r="F736" s="57"/>
    </row>
    <row r="737">
      <c r="F737" s="57"/>
    </row>
    <row r="738">
      <c r="F738" s="57"/>
    </row>
    <row r="739">
      <c r="F739" s="57"/>
    </row>
    <row r="740">
      <c r="F740" s="57"/>
    </row>
    <row r="741">
      <c r="F741" s="57"/>
    </row>
    <row r="742">
      <c r="F742" s="57"/>
    </row>
    <row r="743">
      <c r="F743" s="57"/>
    </row>
    <row r="744">
      <c r="F744" s="57"/>
    </row>
    <row r="745">
      <c r="F745" s="57"/>
    </row>
    <row r="746">
      <c r="F746" s="57"/>
    </row>
    <row r="747">
      <c r="F747" s="57"/>
    </row>
    <row r="748">
      <c r="F748" s="57"/>
    </row>
    <row r="749">
      <c r="F749" s="57"/>
    </row>
    <row r="750">
      <c r="F750" s="57"/>
    </row>
    <row r="751">
      <c r="F751" s="57"/>
    </row>
    <row r="752">
      <c r="F752" s="57"/>
    </row>
    <row r="753">
      <c r="F753" s="57"/>
    </row>
    <row r="754">
      <c r="F754" s="57"/>
    </row>
    <row r="755">
      <c r="F755" s="57"/>
    </row>
    <row r="756">
      <c r="F756" s="57"/>
    </row>
    <row r="757">
      <c r="F757" s="57"/>
    </row>
    <row r="758">
      <c r="F758" s="57"/>
    </row>
    <row r="759">
      <c r="F759" s="57"/>
    </row>
    <row r="760">
      <c r="F760" s="57"/>
    </row>
    <row r="761">
      <c r="F761" s="57"/>
    </row>
    <row r="762">
      <c r="F762" s="57"/>
    </row>
    <row r="763">
      <c r="F763" s="57"/>
    </row>
    <row r="764">
      <c r="F764" s="57"/>
    </row>
    <row r="765">
      <c r="F765" s="57"/>
    </row>
    <row r="766">
      <c r="F766" s="57"/>
    </row>
    <row r="767">
      <c r="F767" s="57"/>
    </row>
    <row r="768">
      <c r="F768" s="57"/>
    </row>
    <row r="769">
      <c r="F769" s="57"/>
    </row>
    <row r="770">
      <c r="F770" s="57"/>
    </row>
    <row r="771">
      <c r="F771" s="57"/>
    </row>
    <row r="772">
      <c r="F772" s="57"/>
    </row>
    <row r="773">
      <c r="F773" s="57"/>
    </row>
    <row r="774">
      <c r="F774" s="57"/>
    </row>
    <row r="775">
      <c r="F775" s="57"/>
    </row>
    <row r="776">
      <c r="F776" s="57"/>
    </row>
    <row r="777">
      <c r="F777" s="57"/>
    </row>
    <row r="778">
      <c r="F778" s="57"/>
    </row>
    <row r="779">
      <c r="F779" s="57"/>
    </row>
    <row r="780">
      <c r="F780" s="57"/>
    </row>
    <row r="781">
      <c r="F781" s="57"/>
    </row>
    <row r="782">
      <c r="F782" s="57"/>
    </row>
    <row r="783">
      <c r="F783" s="57"/>
    </row>
    <row r="784">
      <c r="F784" s="57"/>
    </row>
    <row r="785">
      <c r="F785" s="57"/>
    </row>
    <row r="786">
      <c r="F786" s="57"/>
    </row>
    <row r="787">
      <c r="F787" s="57"/>
    </row>
    <row r="788">
      <c r="F788" s="57"/>
    </row>
    <row r="789">
      <c r="F789" s="57"/>
    </row>
    <row r="790">
      <c r="F790" s="57"/>
    </row>
    <row r="791">
      <c r="F791" s="57"/>
    </row>
    <row r="792">
      <c r="F792" s="57"/>
    </row>
    <row r="793">
      <c r="F793" s="57"/>
    </row>
    <row r="794">
      <c r="F794" s="57"/>
    </row>
    <row r="795">
      <c r="F795" s="57"/>
    </row>
    <row r="796">
      <c r="F796" s="57"/>
    </row>
    <row r="797">
      <c r="F797" s="57"/>
    </row>
    <row r="798">
      <c r="F798" s="57"/>
    </row>
    <row r="799">
      <c r="F799" s="57"/>
    </row>
    <row r="800">
      <c r="F800" s="57"/>
    </row>
    <row r="801">
      <c r="F801" s="57"/>
    </row>
    <row r="802">
      <c r="F802" s="57"/>
    </row>
    <row r="803">
      <c r="F803" s="57"/>
    </row>
    <row r="804">
      <c r="F804" s="57"/>
    </row>
    <row r="805">
      <c r="F805" s="57"/>
    </row>
    <row r="806">
      <c r="F806" s="57"/>
    </row>
    <row r="807">
      <c r="F807" s="57"/>
    </row>
    <row r="808">
      <c r="F808" s="57"/>
    </row>
    <row r="809">
      <c r="F809" s="57"/>
    </row>
    <row r="810">
      <c r="F810" s="57"/>
    </row>
    <row r="811">
      <c r="F811" s="57"/>
    </row>
    <row r="812">
      <c r="F812" s="57"/>
    </row>
    <row r="813">
      <c r="F813" s="57"/>
    </row>
    <row r="814">
      <c r="F814" s="57"/>
    </row>
    <row r="815">
      <c r="F815" s="57"/>
    </row>
    <row r="816">
      <c r="F816" s="57"/>
    </row>
    <row r="817">
      <c r="F817" s="57"/>
    </row>
    <row r="818">
      <c r="F818" s="57"/>
    </row>
    <row r="819">
      <c r="F819" s="57"/>
    </row>
    <row r="820">
      <c r="F820" s="57"/>
    </row>
    <row r="821">
      <c r="F821" s="57"/>
    </row>
    <row r="822">
      <c r="F822" s="57"/>
    </row>
    <row r="823">
      <c r="F823" s="57"/>
    </row>
    <row r="824">
      <c r="F824" s="57"/>
    </row>
    <row r="825">
      <c r="F825" s="57"/>
    </row>
    <row r="826">
      <c r="F826" s="57"/>
    </row>
    <row r="827">
      <c r="F827" s="57"/>
    </row>
    <row r="828">
      <c r="F828" s="57"/>
    </row>
    <row r="829">
      <c r="F829" s="57"/>
    </row>
    <row r="830">
      <c r="F830" s="57"/>
    </row>
    <row r="831">
      <c r="F831" s="57"/>
    </row>
    <row r="832">
      <c r="F832" s="57"/>
    </row>
    <row r="833">
      <c r="F833" s="57"/>
    </row>
    <row r="834">
      <c r="F834" s="57"/>
    </row>
    <row r="835">
      <c r="F835" s="57"/>
    </row>
    <row r="836">
      <c r="F836" s="57"/>
    </row>
    <row r="837">
      <c r="F837" s="57"/>
    </row>
    <row r="838">
      <c r="F838" s="57"/>
    </row>
    <row r="839">
      <c r="F839" s="57"/>
    </row>
    <row r="840">
      <c r="F840" s="57"/>
    </row>
    <row r="841">
      <c r="F841" s="57"/>
    </row>
    <row r="842">
      <c r="F842" s="57"/>
    </row>
    <row r="843">
      <c r="F843" s="57"/>
    </row>
    <row r="844">
      <c r="F844" s="57"/>
    </row>
    <row r="845">
      <c r="F845" s="57"/>
    </row>
    <row r="846">
      <c r="F846" s="57"/>
    </row>
    <row r="847">
      <c r="F847" s="57"/>
    </row>
    <row r="848">
      <c r="F848" s="57"/>
    </row>
    <row r="849">
      <c r="F849" s="57"/>
    </row>
    <row r="850">
      <c r="F850" s="57"/>
    </row>
    <row r="851">
      <c r="F851" s="57"/>
    </row>
    <row r="852">
      <c r="F852" s="57"/>
    </row>
    <row r="853">
      <c r="F853" s="57"/>
    </row>
    <row r="854">
      <c r="F854" s="57"/>
    </row>
    <row r="855">
      <c r="F855" s="57"/>
    </row>
    <row r="856">
      <c r="F856" s="57"/>
    </row>
    <row r="857">
      <c r="F857" s="57"/>
    </row>
    <row r="858">
      <c r="F858" s="57"/>
    </row>
    <row r="859">
      <c r="F859" s="57"/>
    </row>
    <row r="860">
      <c r="F860" s="57"/>
    </row>
    <row r="861">
      <c r="F861" s="57"/>
    </row>
    <row r="862">
      <c r="F862" s="57"/>
    </row>
    <row r="863">
      <c r="F863" s="57"/>
    </row>
    <row r="864">
      <c r="F864" s="57"/>
    </row>
    <row r="865">
      <c r="F865" s="57"/>
    </row>
    <row r="866">
      <c r="F866" s="57"/>
    </row>
    <row r="867">
      <c r="F867" s="57"/>
    </row>
    <row r="868">
      <c r="F868" s="57"/>
    </row>
    <row r="869">
      <c r="F869" s="57"/>
    </row>
    <row r="870">
      <c r="F870" s="57"/>
    </row>
    <row r="871">
      <c r="F871" s="57"/>
    </row>
    <row r="872">
      <c r="F872" s="57"/>
    </row>
    <row r="873">
      <c r="F873" s="57"/>
    </row>
    <row r="874">
      <c r="F874" s="57"/>
    </row>
    <row r="875">
      <c r="F875" s="57"/>
    </row>
    <row r="876">
      <c r="F876" s="57"/>
    </row>
    <row r="877">
      <c r="F877" s="57"/>
    </row>
    <row r="878">
      <c r="F878" s="57"/>
    </row>
    <row r="879">
      <c r="F879" s="57"/>
    </row>
    <row r="880">
      <c r="F880" s="57"/>
    </row>
    <row r="881">
      <c r="F881" s="57"/>
    </row>
    <row r="882">
      <c r="F882" s="57"/>
    </row>
    <row r="883">
      <c r="F883" s="57"/>
    </row>
    <row r="884">
      <c r="F884" s="57"/>
    </row>
    <row r="885">
      <c r="F885" s="57"/>
    </row>
    <row r="886">
      <c r="F886" s="57"/>
    </row>
    <row r="887">
      <c r="F887" s="57"/>
    </row>
    <row r="888">
      <c r="F888" s="57"/>
    </row>
    <row r="889">
      <c r="F889" s="57"/>
    </row>
    <row r="890">
      <c r="F890" s="57"/>
    </row>
    <row r="891">
      <c r="F891" s="57"/>
    </row>
    <row r="892">
      <c r="F892" s="57"/>
    </row>
    <row r="893">
      <c r="F893" s="57"/>
    </row>
    <row r="894">
      <c r="F894" s="57"/>
    </row>
    <row r="895">
      <c r="F895" s="57"/>
    </row>
    <row r="896">
      <c r="F896" s="57"/>
    </row>
    <row r="897">
      <c r="F897" s="57"/>
    </row>
    <row r="898">
      <c r="F898" s="57"/>
    </row>
    <row r="899">
      <c r="F899" s="57"/>
    </row>
    <row r="900">
      <c r="F900" s="57"/>
    </row>
    <row r="901">
      <c r="F901" s="57"/>
    </row>
    <row r="902">
      <c r="F902" s="57"/>
    </row>
    <row r="903">
      <c r="F903" s="57"/>
    </row>
    <row r="904">
      <c r="F904" s="57"/>
    </row>
    <row r="905">
      <c r="F905" s="57"/>
    </row>
    <row r="906">
      <c r="F906" s="57"/>
    </row>
    <row r="907">
      <c r="F907" s="57"/>
    </row>
    <row r="908">
      <c r="F908" s="57"/>
    </row>
    <row r="909">
      <c r="F909" s="57"/>
    </row>
    <row r="910">
      <c r="F910" s="57"/>
    </row>
    <row r="911">
      <c r="F911" s="57"/>
    </row>
    <row r="912">
      <c r="F912" s="57"/>
    </row>
    <row r="913">
      <c r="F913" s="57"/>
    </row>
    <row r="914">
      <c r="F914" s="57"/>
    </row>
    <row r="915">
      <c r="F915" s="57"/>
    </row>
    <row r="916">
      <c r="F916" s="57"/>
    </row>
    <row r="917">
      <c r="F917" s="57"/>
    </row>
    <row r="918">
      <c r="F918" s="57"/>
    </row>
    <row r="919">
      <c r="F919" s="57"/>
    </row>
    <row r="920">
      <c r="F920" s="57"/>
    </row>
    <row r="921">
      <c r="F921" s="57"/>
    </row>
    <row r="922">
      <c r="F922" s="57"/>
    </row>
    <row r="923">
      <c r="F923" s="57"/>
    </row>
    <row r="924">
      <c r="F924" s="57"/>
    </row>
    <row r="925">
      <c r="F925" s="57"/>
    </row>
    <row r="926">
      <c r="F926" s="57"/>
    </row>
    <row r="927">
      <c r="F927" s="57"/>
    </row>
    <row r="928">
      <c r="F928" s="57"/>
    </row>
    <row r="929">
      <c r="F929" s="57"/>
    </row>
    <row r="930">
      <c r="F930" s="57"/>
    </row>
    <row r="931">
      <c r="F931" s="57"/>
    </row>
    <row r="932">
      <c r="F932" s="57"/>
    </row>
    <row r="933">
      <c r="F933" s="57"/>
    </row>
    <row r="934">
      <c r="F934" s="57"/>
    </row>
    <row r="935">
      <c r="F935" s="57"/>
    </row>
    <row r="936">
      <c r="F936" s="57"/>
    </row>
    <row r="937">
      <c r="F937" s="57"/>
    </row>
    <row r="938">
      <c r="F938" s="57"/>
    </row>
    <row r="939">
      <c r="F939" s="57"/>
    </row>
    <row r="940">
      <c r="F940" s="57"/>
    </row>
    <row r="941">
      <c r="F941" s="57"/>
    </row>
    <row r="942">
      <c r="F942" s="57"/>
    </row>
    <row r="943">
      <c r="F943" s="57"/>
    </row>
    <row r="944">
      <c r="F944" s="57"/>
    </row>
    <row r="945">
      <c r="F945" s="57"/>
    </row>
    <row r="946">
      <c r="F946" s="57"/>
    </row>
    <row r="947">
      <c r="F947" s="57"/>
    </row>
    <row r="948">
      <c r="F948" s="57"/>
    </row>
    <row r="949">
      <c r="F949" s="57"/>
    </row>
    <row r="950">
      <c r="F950" s="57"/>
    </row>
    <row r="951">
      <c r="F951" s="57"/>
    </row>
    <row r="952">
      <c r="F952" s="57"/>
    </row>
    <row r="953">
      <c r="F953" s="57"/>
    </row>
    <row r="954">
      <c r="F954" s="57"/>
    </row>
    <row r="955">
      <c r="F955" s="57"/>
    </row>
    <row r="956">
      <c r="F956" s="57"/>
    </row>
    <row r="957">
      <c r="F957" s="57"/>
    </row>
    <row r="958">
      <c r="F958" s="57"/>
    </row>
    <row r="959">
      <c r="F959" s="57"/>
    </row>
    <row r="960">
      <c r="F960" s="57"/>
    </row>
    <row r="961">
      <c r="F961" s="57"/>
    </row>
    <row r="962">
      <c r="F962" s="57"/>
    </row>
    <row r="963">
      <c r="F963" s="57"/>
    </row>
    <row r="964">
      <c r="F964" s="57"/>
    </row>
    <row r="965">
      <c r="F965" s="57"/>
    </row>
    <row r="966">
      <c r="F966" s="57"/>
    </row>
    <row r="967">
      <c r="F967" s="57"/>
    </row>
    <row r="968">
      <c r="F968" s="57"/>
    </row>
    <row r="969">
      <c r="F969" s="57"/>
    </row>
    <row r="970">
      <c r="F970" s="57"/>
    </row>
    <row r="971">
      <c r="F971" s="57"/>
    </row>
    <row r="972">
      <c r="F972" s="57"/>
    </row>
    <row r="973">
      <c r="F973" s="57"/>
    </row>
    <row r="974">
      <c r="F974" s="57"/>
    </row>
    <row r="975">
      <c r="F975" s="57"/>
    </row>
    <row r="976">
      <c r="F976" s="57"/>
    </row>
    <row r="977">
      <c r="F977" s="57"/>
    </row>
    <row r="978">
      <c r="F978" s="57"/>
    </row>
    <row r="979">
      <c r="F979" s="57"/>
    </row>
    <row r="980">
      <c r="F980" s="57"/>
    </row>
    <row r="981">
      <c r="F981" s="57"/>
    </row>
    <row r="982">
      <c r="F982" s="57"/>
    </row>
    <row r="983">
      <c r="F983" s="57"/>
    </row>
    <row r="984">
      <c r="F984" s="57"/>
    </row>
    <row r="985">
      <c r="F985" s="57"/>
    </row>
    <row r="986">
      <c r="F986" s="57"/>
    </row>
    <row r="987">
      <c r="F987" s="57"/>
    </row>
    <row r="988">
      <c r="F988" s="57"/>
    </row>
    <row r="989">
      <c r="F989" s="57"/>
    </row>
    <row r="990">
      <c r="F990" s="57"/>
    </row>
    <row r="991">
      <c r="F991" s="57"/>
    </row>
    <row r="992">
      <c r="F992" s="57"/>
    </row>
    <row r="993">
      <c r="F993" s="57"/>
    </row>
    <row r="994">
      <c r="F994" s="57"/>
    </row>
    <row r="995">
      <c r="F995" s="57"/>
    </row>
    <row r="996">
      <c r="F996" s="57"/>
    </row>
    <row r="997">
      <c r="F997" s="57"/>
    </row>
    <row r="998">
      <c r="F998" s="57"/>
    </row>
    <row r="999">
      <c r="F999" s="57"/>
    </row>
    <row r="1000">
      <c r="F1000" s="57"/>
    </row>
  </sheetData>
  <autoFilter ref="$E$1:$E$1000"/>
  <mergeCells count="2">
    <mergeCell ref="F113:F117"/>
    <mergeCell ref="F143:F145"/>
  </mergeCells>
  <dataValidations>
    <dataValidation type="list" allowBlank="1" sqref="C2:C167">
      <formula1>"Functional,Technical,Both"</formula1>
    </dataValidation>
    <dataValidation type="list" allowBlank="1" sqref="D2:D167">
      <formula1>"High,Medium,Low"</formula1>
    </dataValidation>
    <dataValidation type="list" allowBlank="1" sqref="E2:E167">
      <formula1>"Standard (native),Configure (within the tool - no additional cost),Customize (develop a solution - invovles additional cost),Not supported"</formula1>
    </dataValidation>
  </dataValidations>
  <hyperlinks>
    <hyperlink r:id="rId1" ref="F24"/>
    <hyperlink r:id="rId2" ref="F30"/>
    <hyperlink r:id="rId3" ref="F51"/>
    <hyperlink r:id="rId4" ref="F52"/>
    <hyperlink r:id="rId5" ref="F93"/>
    <hyperlink r:id="rId6" location="intro" ref="F143"/>
    <hyperlink r:id="rId7" location="intro" ref="F164"/>
    <hyperlink r:id="rId8" ref="F166"/>
  </hyperlinks>
  <printOptions/>
  <pageMargins bottom="0.75" footer="0.0" header="0.0" left="0.7" right="0.7" top="0.75"/>
  <pageSetup orientation="portrait"/>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47.0"/>
    <col customWidth="1" min="3" max="3" width="24.5"/>
    <col customWidth="1" min="4" max="4" width="29.63"/>
    <col customWidth="1" min="5" max="5" width="33.0"/>
  </cols>
  <sheetData>
    <row r="1">
      <c r="A1" s="157" t="s">
        <v>108</v>
      </c>
      <c r="B1" s="158" t="s">
        <v>109</v>
      </c>
      <c r="C1" s="158" t="s">
        <v>277</v>
      </c>
      <c r="D1" s="158" t="s">
        <v>417</v>
      </c>
      <c r="E1" s="159" t="s">
        <v>418</v>
      </c>
    </row>
    <row r="2">
      <c r="A2" s="74"/>
      <c r="B2" s="160" t="s">
        <v>112</v>
      </c>
      <c r="C2" s="161"/>
      <c r="D2" s="161"/>
      <c r="E2" s="77"/>
    </row>
    <row r="3">
      <c r="A3" s="162">
        <v>1.1</v>
      </c>
      <c r="B3" s="163" t="s">
        <v>113</v>
      </c>
      <c r="C3" s="164"/>
      <c r="D3" s="164"/>
      <c r="E3" s="165"/>
    </row>
    <row r="4">
      <c r="A4" s="162">
        <f>A3</f>
        <v>1.1</v>
      </c>
      <c r="B4" s="163" t="s">
        <v>114</v>
      </c>
      <c r="C4" s="164"/>
      <c r="D4" s="164"/>
      <c r="E4" s="165"/>
    </row>
    <row r="5">
      <c r="A5" s="162">
        <v>1.3</v>
      </c>
      <c r="B5" s="163" t="s">
        <v>115</v>
      </c>
      <c r="C5" s="164"/>
      <c r="D5" s="164"/>
      <c r="E5" s="165"/>
    </row>
    <row r="6">
      <c r="A6" s="162">
        <v>1.4</v>
      </c>
      <c r="B6" s="163" t="s">
        <v>117</v>
      </c>
      <c r="C6" s="164"/>
      <c r="D6" s="164"/>
      <c r="E6" s="165"/>
    </row>
    <row r="7">
      <c r="A7" s="162">
        <v>1.5</v>
      </c>
      <c r="B7" s="163" t="s">
        <v>119</v>
      </c>
      <c r="C7" s="164"/>
      <c r="D7" s="164"/>
      <c r="E7" s="165"/>
    </row>
    <row r="8">
      <c r="A8" s="162"/>
      <c r="B8" s="163" t="s">
        <v>121</v>
      </c>
      <c r="C8" s="164"/>
      <c r="D8" s="164"/>
      <c r="E8" s="165"/>
    </row>
    <row r="9">
      <c r="A9" s="162">
        <v>1.7</v>
      </c>
      <c r="B9" s="163" t="s">
        <v>123</v>
      </c>
      <c r="C9" s="164"/>
      <c r="D9" s="164"/>
      <c r="E9" s="165"/>
    </row>
    <row r="10">
      <c r="A10" s="162"/>
      <c r="B10" s="163" t="s">
        <v>124</v>
      </c>
      <c r="C10" s="164"/>
      <c r="D10" s="164"/>
      <c r="E10" s="165"/>
    </row>
    <row r="11">
      <c r="A11" s="162">
        <v>1.9</v>
      </c>
      <c r="B11" s="163" t="s">
        <v>125</v>
      </c>
      <c r="C11" s="164"/>
      <c r="D11" s="164"/>
      <c r="E11" s="165"/>
    </row>
    <row r="12">
      <c r="A12" s="166" t="s">
        <v>126</v>
      </c>
      <c r="B12" s="163" t="s">
        <v>127</v>
      </c>
      <c r="C12" s="164"/>
      <c r="D12" s="164"/>
      <c r="E12" s="165"/>
    </row>
    <row r="13">
      <c r="A13" s="162"/>
      <c r="B13" s="163" t="s">
        <v>128</v>
      </c>
      <c r="C13" s="164"/>
      <c r="D13" s="164"/>
      <c r="E13" s="165"/>
    </row>
    <row r="14">
      <c r="A14" s="162">
        <v>1.12</v>
      </c>
      <c r="B14" s="163" t="s">
        <v>129</v>
      </c>
      <c r="C14" s="164"/>
      <c r="D14" s="164"/>
      <c r="E14" s="165"/>
    </row>
    <row r="15">
      <c r="A15" s="162">
        <v>1.13</v>
      </c>
      <c r="B15" s="163" t="s">
        <v>130</v>
      </c>
      <c r="C15" s="164"/>
      <c r="D15" s="164"/>
      <c r="E15" s="167"/>
    </row>
    <row r="16">
      <c r="A16" s="162"/>
      <c r="B16" s="163"/>
      <c r="C16" s="164"/>
      <c r="D16" s="164"/>
      <c r="E16" s="167"/>
    </row>
    <row r="17">
      <c r="A17" s="168"/>
      <c r="B17" s="76" t="s">
        <v>131</v>
      </c>
      <c r="C17" s="169"/>
      <c r="D17" s="169"/>
      <c r="E17" s="170"/>
    </row>
    <row r="18">
      <c r="A18" s="162">
        <v>2.1</v>
      </c>
      <c r="B18" s="163" t="s">
        <v>132</v>
      </c>
      <c r="C18" s="164"/>
      <c r="D18" s="164"/>
      <c r="E18" s="165"/>
    </row>
    <row r="19">
      <c r="A19" s="162">
        <v>2.2</v>
      </c>
      <c r="B19" s="163" t="s">
        <v>133</v>
      </c>
      <c r="C19" s="164"/>
      <c r="D19" s="164"/>
      <c r="E19" s="165"/>
    </row>
    <row r="20">
      <c r="A20" s="162">
        <v>2.3</v>
      </c>
      <c r="B20" s="163" t="s">
        <v>134</v>
      </c>
      <c r="C20" s="164"/>
      <c r="D20" s="164"/>
      <c r="E20" s="165"/>
    </row>
    <row r="21" ht="15.75" customHeight="1">
      <c r="A21" s="162">
        <v>2.4</v>
      </c>
      <c r="B21" s="163" t="s">
        <v>135</v>
      </c>
      <c r="C21" s="164"/>
      <c r="D21" s="164"/>
      <c r="E21" s="165"/>
    </row>
    <row r="22" ht="15.75" customHeight="1">
      <c r="A22" s="162">
        <v>2.5</v>
      </c>
      <c r="B22" s="163" t="s">
        <v>136</v>
      </c>
      <c r="C22" s="164"/>
      <c r="D22" s="164"/>
      <c r="E22" s="165"/>
    </row>
    <row r="23" ht="15.75" customHeight="1">
      <c r="A23" s="162">
        <v>2.6</v>
      </c>
      <c r="B23" s="163" t="s">
        <v>137</v>
      </c>
      <c r="C23" s="164"/>
      <c r="D23" s="164"/>
      <c r="E23" s="165"/>
    </row>
    <row r="24" ht="15.75" customHeight="1">
      <c r="A24" s="162">
        <v>2.7</v>
      </c>
      <c r="B24" s="163" t="s">
        <v>138</v>
      </c>
      <c r="C24" s="164"/>
      <c r="D24" s="164"/>
      <c r="E24" s="165"/>
    </row>
    <row r="25" ht="15.75" customHeight="1">
      <c r="A25" s="162">
        <v>2.8</v>
      </c>
      <c r="B25" s="163" t="s">
        <v>139</v>
      </c>
      <c r="C25" s="164"/>
      <c r="D25" s="164"/>
      <c r="E25" s="165"/>
    </row>
    <row r="26" ht="15.75" customHeight="1">
      <c r="A26" s="162"/>
      <c r="B26" s="163"/>
      <c r="C26" s="164"/>
      <c r="D26" s="164"/>
      <c r="E26" s="167"/>
    </row>
    <row r="27" ht="15.75" customHeight="1">
      <c r="A27" s="168"/>
      <c r="B27" s="76" t="s">
        <v>140</v>
      </c>
      <c r="C27" s="169"/>
      <c r="D27" s="169"/>
      <c r="E27" s="170"/>
    </row>
    <row r="28" ht="15.75" customHeight="1">
      <c r="A28" s="162">
        <v>3.1</v>
      </c>
      <c r="B28" s="163" t="s">
        <v>141</v>
      </c>
      <c r="C28" s="164"/>
      <c r="D28" s="164"/>
      <c r="E28" s="165"/>
    </row>
    <row r="29" ht="15.75" customHeight="1">
      <c r="A29" s="162">
        <v>3.2</v>
      </c>
      <c r="B29" s="163" t="s">
        <v>142</v>
      </c>
      <c r="C29" s="164"/>
      <c r="D29" s="164"/>
      <c r="E29" s="165"/>
    </row>
    <row r="30" ht="15.75" customHeight="1">
      <c r="A30" s="162">
        <v>3.3</v>
      </c>
      <c r="B30" s="163" t="s">
        <v>143</v>
      </c>
      <c r="C30" s="164"/>
      <c r="D30" s="164"/>
      <c r="E30" s="165"/>
    </row>
    <row r="31" ht="15.75" customHeight="1">
      <c r="A31" s="162">
        <v>3.4</v>
      </c>
      <c r="B31" s="163" t="s">
        <v>144</v>
      </c>
      <c r="C31" s="164"/>
      <c r="D31" s="164"/>
      <c r="E31" s="165"/>
    </row>
    <row r="32" ht="15.75" customHeight="1">
      <c r="A32" s="162">
        <v>3.5</v>
      </c>
      <c r="B32" s="163" t="s">
        <v>145</v>
      </c>
      <c r="C32" s="164"/>
      <c r="D32" s="164"/>
      <c r="E32" s="165"/>
    </row>
    <row r="33" ht="15.75" customHeight="1">
      <c r="A33" s="171">
        <v>3.6</v>
      </c>
      <c r="B33" s="163" t="s">
        <v>146</v>
      </c>
      <c r="C33" s="164"/>
      <c r="D33" s="164"/>
      <c r="E33" s="165"/>
    </row>
    <row r="34" ht="15.75" customHeight="1">
      <c r="A34" s="162">
        <v>3.7</v>
      </c>
      <c r="B34" s="163" t="s">
        <v>147</v>
      </c>
      <c r="C34" s="164"/>
      <c r="D34" s="164"/>
      <c r="E34" s="165"/>
    </row>
    <row r="35" ht="15.75" customHeight="1">
      <c r="A35" s="162">
        <v>3.8</v>
      </c>
      <c r="B35" s="163" t="s">
        <v>148</v>
      </c>
      <c r="C35" s="164"/>
      <c r="D35" s="164"/>
      <c r="E35" s="165"/>
    </row>
    <row r="36" ht="15.75" customHeight="1">
      <c r="A36" s="162">
        <v>3.9</v>
      </c>
      <c r="B36" s="163" t="s">
        <v>149</v>
      </c>
      <c r="C36" s="164"/>
      <c r="D36" s="164"/>
      <c r="E36" s="165"/>
    </row>
    <row r="37" ht="15.75" customHeight="1">
      <c r="A37" s="166" t="s">
        <v>150</v>
      </c>
      <c r="B37" s="163" t="s">
        <v>151</v>
      </c>
      <c r="C37" s="164"/>
      <c r="D37" s="164"/>
      <c r="E37" s="165"/>
    </row>
    <row r="38" ht="15.75" customHeight="1">
      <c r="A38" s="162">
        <v>3.11</v>
      </c>
      <c r="B38" s="163" t="s">
        <v>152</v>
      </c>
      <c r="C38" s="164"/>
      <c r="D38" s="164"/>
      <c r="E38" s="165"/>
    </row>
    <row r="39" ht="15.75" customHeight="1">
      <c r="A39" s="162">
        <v>3.12</v>
      </c>
      <c r="B39" s="163" t="s">
        <v>153</v>
      </c>
      <c r="C39" s="164"/>
      <c r="D39" s="164"/>
      <c r="E39" s="165"/>
    </row>
    <row r="40" ht="15.75" customHeight="1">
      <c r="A40" s="162"/>
      <c r="B40" s="163"/>
      <c r="C40" s="164"/>
      <c r="D40" s="164"/>
      <c r="E40" s="167"/>
    </row>
    <row r="41" ht="15.75" customHeight="1">
      <c r="A41" s="168"/>
      <c r="B41" s="76" t="s">
        <v>154</v>
      </c>
      <c r="C41" s="169"/>
      <c r="D41" s="169"/>
      <c r="E41" s="170"/>
    </row>
    <row r="42" ht="15.75" customHeight="1">
      <c r="A42" s="162">
        <v>4.1</v>
      </c>
      <c r="B42" s="163" t="s">
        <v>155</v>
      </c>
      <c r="C42" s="164"/>
      <c r="D42" s="164"/>
      <c r="E42" s="165"/>
    </row>
    <row r="43" ht="15.75" customHeight="1">
      <c r="A43" s="162">
        <v>4.2</v>
      </c>
      <c r="B43" s="163" t="s">
        <v>156</v>
      </c>
      <c r="C43" s="164"/>
      <c r="D43" s="164"/>
      <c r="E43" s="165"/>
    </row>
    <row r="44" ht="15.75" customHeight="1">
      <c r="A44" s="162">
        <v>4.3</v>
      </c>
      <c r="B44" s="163" t="s">
        <v>157</v>
      </c>
      <c r="C44" s="164"/>
      <c r="D44" s="164"/>
      <c r="E44" s="165"/>
    </row>
    <row r="45" ht="15.75" customHeight="1">
      <c r="A45" s="162">
        <v>4.4</v>
      </c>
      <c r="B45" s="163" t="s">
        <v>158</v>
      </c>
      <c r="C45" s="164"/>
      <c r="D45" s="164"/>
      <c r="E45" s="165"/>
    </row>
    <row r="46" ht="15.75" customHeight="1">
      <c r="A46" s="162">
        <v>4.5</v>
      </c>
      <c r="B46" s="163" t="s">
        <v>159</v>
      </c>
      <c r="C46" s="164"/>
      <c r="D46" s="164"/>
      <c r="E46" s="165"/>
    </row>
    <row r="47" ht="15.75" customHeight="1">
      <c r="A47" s="162">
        <v>4.6</v>
      </c>
      <c r="B47" s="163" t="s">
        <v>160</v>
      </c>
      <c r="C47" s="164"/>
      <c r="D47" s="164"/>
      <c r="E47" s="165"/>
    </row>
    <row r="48" ht="15.75" customHeight="1">
      <c r="A48" s="162">
        <v>4.7</v>
      </c>
      <c r="B48" s="163" t="s">
        <v>161</v>
      </c>
      <c r="C48" s="164"/>
      <c r="D48" s="164"/>
      <c r="E48" s="165"/>
    </row>
    <row r="49" ht="15.75" customHeight="1">
      <c r="A49" s="162">
        <v>4.8</v>
      </c>
      <c r="B49" s="163" t="s">
        <v>162</v>
      </c>
      <c r="C49" s="164"/>
      <c r="D49" s="164"/>
      <c r="E49" s="165"/>
    </row>
    <row r="50" ht="15.75" customHeight="1">
      <c r="A50" s="162">
        <v>4.9</v>
      </c>
      <c r="B50" s="163" t="s">
        <v>163</v>
      </c>
      <c r="C50" s="164"/>
      <c r="D50" s="164"/>
      <c r="E50" s="165"/>
    </row>
    <row r="51" ht="15.75" customHeight="1">
      <c r="A51" s="166" t="s">
        <v>164</v>
      </c>
      <c r="B51" s="163" t="s">
        <v>165</v>
      </c>
      <c r="C51" s="164"/>
      <c r="D51" s="164"/>
      <c r="E51" s="165"/>
    </row>
    <row r="52" ht="15.75" customHeight="1">
      <c r="A52" s="162">
        <v>4.11</v>
      </c>
      <c r="B52" s="163" t="s">
        <v>166</v>
      </c>
      <c r="C52" s="164"/>
      <c r="D52" s="164"/>
      <c r="E52" s="165"/>
    </row>
    <row r="53" ht="15.75" customHeight="1">
      <c r="A53" s="162">
        <v>4.12</v>
      </c>
      <c r="B53" s="163" t="s">
        <v>167</v>
      </c>
      <c r="C53" s="164"/>
      <c r="D53" s="164"/>
      <c r="E53" s="165"/>
    </row>
    <row r="54" ht="15.75" customHeight="1">
      <c r="A54" s="162">
        <v>4.13</v>
      </c>
      <c r="B54" s="163" t="s">
        <v>168</v>
      </c>
      <c r="C54" s="164"/>
      <c r="D54" s="164"/>
      <c r="E54" s="165"/>
    </row>
    <row r="55" ht="15.75" customHeight="1">
      <c r="A55" s="162">
        <v>4.14</v>
      </c>
      <c r="B55" s="163" t="s">
        <v>169</v>
      </c>
      <c r="C55" s="164"/>
      <c r="D55" s="164"/>
      <c r="E55" s="165"/>
    </row>
    <row r="56" ht="15.75" customHeight="1">
      <c r="A56" s="162">
        <v>4.15</v>
      </c>
      <c r="B56" s="163" t="s">
        <v>170</v>
      </c>
      <c r="C56" s="164"/>
      <c r="D56" s="164"/>
      <c r="E56" s="165"/>
    </row>
    <row r="57" ht="15.75" customHeight="1">
      <c r="A57" s="162">
        <v>4.16</v>
      </c>
      <c r="B57" s="163" t="s">
        <v>171</v>
      </c>
      <c r="C57" s="164"/>
      <c r="D57" s="164"/>
      <c r="E57" s="165"/>
    </row>
    <row r="58" ht="15.75" customHeight="1">
      <c r="A58" s="162">
        <v>4.17</v>
      </c>
      <c r="B58" s="163" t="s">
        <v>172</v>
      </c>
      <c r="C58" s="164"/>
      <c r="D58" s="164"/>
      <c r="E58" s="165"/>
    </row>
    <row r="59" ht="15.75" customHeight="1">
      <c r="A59" s="162">
        <v>4.18</v>
      </c>
      <c r="B59" s="163" t="s">
        <v>173</v>
      </c>
      <c r="C59" s="164"/>
      <c r="D59" s="164"/>
      <c r="E59" s="165"/>
    </row>
    <row r="60" ht="15.75" customHeight="1">
      <c r="A60" s="162">
        <v>4.19</v>
      </c>
      <c r="B60" s="163" t="s">
        <v>174</v>
      </c>
      <c r="C60" s="164"/>
      <c r="D60" s="164"/>
      <c r="E60" s="165"/>
    </row>
    <row r="61" ht="15.75" customHeight="1">
      <c r="A61" s="166" t="s">
        <v>175</v>
      </c>
      <c r="B61" s="163" t="s">
        <v>176</v>
      </c>
      <c r="C61" s="164"/>
      <c r="D61" s="164"/>
      <c r="E61" s="165"/>
    </row>
    <row r="62" ht="15.75" customHeight="1">
      <c r="A62" s="162"/>
      <c r="B62" s="163"/>
      <c r="C62" s="164"/>
      <c r="D62" s="164"/>
      <c r="E62" s="167"/>
    </row>
    <row r="63" ht="15.75" customHeight="1">
      <c r="A63" s="168"/>
      <c r="B63" s="76" t="s">
        <v>177</v>
      </c>
      <c r="C63" s="169"/>
      <c r="D63" s="169"/>
      <c r="E63" s="170"/>
    </row>
    <row r="64" ht="15.75" customHeight="1">
      <c r="A64" s="162">
        <v>5.1</v>
      </c>
      <c r="B64" s="163" t="s">
        <v>178</v>
      </c>
      <c r="C64" s="164"/>
      <c r="D64" s="164"/>
      <c r="E64" s="165"/>
    </row>
    <row r="65" ht="15.75" customHeight="1">
      <c r="A65" s="162">
        <v>5.2</v>
      </c>
      <c r="B65" s="163" t="s">
        <v>179</v>
      </c>
      <c r="C65" s="164"/>
      <c r="D65" s="164"/>
      <c r="E65" s="165"/>
    </row>
    <row r="66" ht="15.75" customHeight="1">
      <c r="A66" s="162">
        <v>5.3</v>
      </c>
      <c r="B66" s="163" t="s">
        <v>180</v>
      </c>
      <c r="C66" s="164"/>
      <c r="D66" s="164"/>
      <c r="E66" s="165"/>
    </row>
    <row r="67" ht="15.75" customHeight="1">
      <c r="A67" s="162">
        <v>5.4</v>
      </c>
      <c r="B67" s="163" t="s">
        <v>181</v>
      </c>
      <c r="C67" s="164"/>
      <c r="D67" s="164"/>
      <c r="E67" s="165"/>
    </row>
    <row r="68" ht="15.75" customHeight="1">
      <c r="A68" s="162">
        <v>5.5</v>
      </c>
      <c r="B68" s="163" t="s">
        <v>182</v>
      </c>
      <c r="C68" s="164"/>
      <c r="D68" s="164"/>
      <c r="E68" s="165"/>
    </row>
    <row r="69" ht="15.75" customHeight="1">
      <c r="A69" s="162">
        <v>5.6</v>
      </c>
      <c r="B69" s="163" t="s">
        <v>183</v>
      </c>
      <c r="C69" s="164"/>
      <c r="D69" s="164"/>
      <c r="E69" s="165"/>
    </row>
    <row r="70" ht="15.75" customHeight="1">
      <c r="A70" s="162">
        <v>5.7</v>
      </c>
      <c r="B70" s="163" t="s">
        <v>184</v>
      </c>
      <c r="C70" s="164"/>
      <c r="D70" s="164"/>
      <c r="E70" s="165"/>
    </row>
    <row r="71" ht="15.75" customHeight="1">
      <c r="A71" s="162">
        <v>5.8</v>
      </c>
      <c r="B71" s="163" t="s">
        <v>185</v>
      </c>
      <c r="C71" s="164"/>
      <c r="D71" s="164"/>
      <c r="E71" s="165"/>
    </row>
    <row r="72" ht="15.75" customHeight="1">
      <c r="A72" s="162">
        <v>5.9</v>
      </c>
      <c r="B72" s="163" t="s">
        <v>186</v>
      </c>
      <c r="C72" s="164"/>
      <c r="D72" s="164"/>
      <c r="E72" s="165"/>
    </row>
    <row r="73" ht="15.75" customHeight="1">
      <c r="A73" s="166" t="s">
        <v>187</v>
      </c>
      <c r="B73" s="163" t="s">
        <v>188</v>
      </c>
      <c r="C73" s="164"/>
      <c r="D73" s="164"/>
      <c r="E73" s="165"/>
    </row>
    <row r="74" ht="15.75" customHeight="1">
      <c r="A74" s="162">
        <v>5.11</v>
      </c>
      <c r="B74" s="163" t="s">
        <v>189</v>
      </c>
      <c r="C74" s="164"/>
      <c r="D74" s="164"/>
      <c r="E74" s="165"/>
    </row>
    <row r="75" ht="15.75" customHeight="1">
      <c r="A75" s="162">
        <v>5.12</v>
      </c>
      <c r="B75" s="163" t="s">
        <v>190</v>
      </c>
      <c r="C75" s="164"/>
      <c r="D75" s="164"/>
      <c r="E75" s="165"/>
    </row>
    <row r="76" ht="15.75" customHeight="1">
      <c r="A76" s="162">
        <v>5.13</v>
      </c>
      <c r="B76" s="163" t="s">
        <v>191</v>
      </c>
      <c r="C76" s="164"/>
      <c r="D76" s="164"/>
      <c r="E76" s="165"/>
    </row>
    <row r="77" ht="15.75" customHeight="1">
      <c r="A77" s="162">
        <v>5.14</v>
      </c>
      <c r="B77" s="163" t="s">
        <v>192</v>
      </c>
      <c r="C77" s="164"/>
      <c r="D77" s="164"/>
      <c r="E77" s="165"/>
    </row>
    <row r="78" ht="15.75" customHeight="1">
      <c r="A78" s="162">
        <v>5.15</v>
      </c>
      <c r="B78" s="163" t="s">
        <v>193</v>
      </c>
      <c r="C78" s="164"/>
      <c r="D78" s="164"/>
      <c r="E78" s="165"/>
    </row>
    <row r="79" ht="15.75" customHeight="1">
      <c r="A79" s="162">
        <v>5.16</v>
      </c>
      <c r="B79" s="163" t="s">
        <v>194</v>
      </c>
      <c r="C79" s="164"/>
      <c r="D79" s="164"/>
      <c r="E79" s="165"/>
    </row>
    <row r="80" ht="15.75" customHeight="1">
      <c r="A80" s="162">
        <v>5.17</v>
      </c>
      <c r="B80" s="163" t="s">
        <v>195</v>
      </c>
      <c r="C80" s="164"/>
      <c r="D80" s="164"/>
      <c r="E80" s="165"/>
    </row>
    <row r="81" ht="15.75" customHeight="1">
      <c r="A81" s="162">
        <v>5.18</v>
      </c>
      <c r="B81" s="163" t="s">
        <v>196</v>
      </c>
      <c r="C81" s="164"/>
      <c r="D81" s="164"/>
      <c r="E81" s="165"/>
    </row>
    <row r="82" ht="15.75" customHeight="1">
      <c r="A82" s="162">
        <v>5.19</v>
      </c>
      <c r="B82" s="163" t="s">
        <v>197</v>
      </c>
      <c r="C82" s="164"/>
      <c r="D82" s="164"/>
      <c r="E82" s="165"/>
    </row>
    <row r="83" ht="15.75" customHeight="1">
      <c r="A83" s="166" t="s">
        <v>198</v>
      </c>
      <c r="B83" s="163" t="s">
        <v>199</v>
      </c>
      <c r="C83" s="164"/>
      <c r="D83" s="164"/>
      <c r="E83" s="165"/>
    </row>
    <row r="84" ht="15.75" customHeight="1">
      <c r="A84" s="162">
        <v>5.21</v>
      </c>
      <c r="B84" s="163" t="s">
        <v>200</v>
      </c>
      <c r="C84" s="164"/>
      <c r="D84" s="164"/>
      <c r="E84" s="165"/>
    </row>
    <row r="85" ht="15.75" customHeight="1">
      <c r="A85" s="162">
        <v>5.22</v>
      </c>
      <c r="B85" s="163" t="s">
        <v>201</v>
      </c>
      <c r="C85" s="164"/>
      <c r="D85" s="164"/>
      <c r="E85" s="165"/>
    </row>
    <row r="86" ht="15.75" customHeight="1">
      <c r="A86" s="162">
        <v>5.23</v>
      </c>
      <c r="B86" s="163" t="s">
        <v>202</v>
      </c>
      <c r="C86" s="164"/>
      <c r="D86" s="164"/>
      <c r="E86" s="165"/>
    </row>
    <row r="87" ht="15.75" customHeight="1">
      <c r="A87" s="162">
        <v>5.24</v>
      </c>
      <c r="B87" s="163" t="s">
        <v>203</v>
      </c>
      <c r="C87" s="164"/>
      <c r="D87" s="164"/>
      <c r="E87" s="165"/>
    </row>
    <row r="88" ht="15.75" customHeight="1">
      <c r="A88" s="162">
        <v>5.25</v>
      </c>
      <c r="B88" s="163" t="s">
        <v>204</v>
      </c>
      <c r="C88" s="164"/>
      <c r="D88" s="164"/>
      <c r="E88" s="165"/>
    </row>
    <row r="89" ht="15.75" customHeight="1">
      <c r="A89" s="162">
        <v>5.26</v>
      </c>
      <c r="B89" s="163" t="s">
        <v>205</v>
      </c>
      <c r="C89" s="164"/>
      <c r="D89" s="164"/>
      <c r="E89" s="165"/>
    </row>
    <row r="90" ht="15.75" customHeight="1">
      <c r="A90" s="162">
        <v>5.27</v>
      </c>
      <c r="B90" s="163" t="s">
        <v>206</v>
      </c>
      <c r="C90" s="164"/>
      <c r="D90" s="164"/>
      <c r="E90" s="165"/>
    </row>
    <row r="91" ht="15.75" customHeight="1">
      <c r="A91" s="162">
        <v>5.28</v>
      </c>
      <c r="B91" s="163" t="s">
        <v>207</v>
      </c>
      <c r="C91" s="164"/>
      <c r="D91" s="164"/>
      <c r="E91" s="165"/>
    </row>
    <row r="92" ht="15.75" customHeight="1">
      <c r="A92" s="162">
        <v>5.29</v>
      </c>
      <c r="B92" s="163" t="s">
        <v>208</v>
      </c>
      <c r="C92" s="164"/>
      <c r="D92" s="164"/>
      <c r="E92" s="165"/>
    </row>
    <row r="93" ht="15.75" customHeight="1">
      <c r="A93" s="166" t="s">
        <v>209</v>
      </c>
      <c r="B93" s="163" t="s">
        <v>210</v>
      </c>
      <c r="C93" s="164"/>
      <c r="D93" s="164"/>
      <c r="E93" s="165"/>
    </row>
    <row r="94" ht="15.75" customHeight="1">
      <c r="A94" s="162">
        <v>5.31</v>
      </c>
      <c r="B94" s="163" t="s">
        <v>211</v>
      </c>
      <c r="C94" s="164"/>
      <c r="D94" s="164"/>
      <c r="E94" s="165"/>
    </row>
    <row r="95" ht="15.75" customHeight="1">
      <c r="A95" s="162">
        <v>5.32</v>
      </c>
      <c r="B95" s="163" t="s">
        <v>212</v>
      </c>
      <c r="C95" s="164"/>
      <c r="D95" s="164"/>
      <c r="E95" s="165"/>
    </row>
    <row r="96" ht="15.75" customHeight="1">
      <c r="A96" s="162">
        <v>5.33</v>
      </c>
      <c r="B96" s="163" t="s">
        <v>213</v>
      </c>
      <c r="C96" s="164"/>
      <c r="D96" s="164"/>
      <c r="E96" s="165"/>
    </row>
    <row r="97" ht="15.75" customHeight="1">
      <c r="A97" s="162">
        <v>5.34</v>
      </c>
      <c r="B97" s="163" t="s">
        <v>214</v>
      </c>
      <c r="C97" s="164"/>
      <c r="D97" s="164"/>
      <c r="E97" s="165"/>
    </row>
    <row r="98" ht="15.75" customHeight="1">
      <c r="A98" s="162">
        <v>5.35</v>
      </c>
      <c r="B98" s="163" t="s">
        <v>215</v>
      </c>
      <c r="C98" s="164"/>
      <c r="D98" s="164"/>
      <c r="E98" s="165"/>
    </row>
    <row r="99" ht="15.75" customHeight="1">
      <c r="A99" s="162">
        <v>5.36</v>
      </c>
      <c r="B99" s="163" t="s">
        <v>216</v>
      </c>
      <c r="C99" s="164"/>
      <c r="D99" s="164"/>
      <c r="E99" s="165"/>
    </row>
    <row r="100" ht="15.75" customHeight="1">
      <c r="A100" s="162">
        <v>5.37</v>
      </c>
      <c r="B100" s="163" t="s">
        <v>217</v>
      </c>
      <c r="C100" s="164"/>
      <c r="D100" s="164"/>
      <c r="E100" s="165"/>
    </row>
    <row r="101" ht="15.75" customHeight="1">
      <c r="A101" s="162">
        <v>5.38</v>
      </c>
      <c r="B101" s="163" t="s">
        <v>218</v>
      </c>
      <c r="C101" s="164"/>
      <c r="D101" s="164"/>
      <c r="E101" s="165"/>
    </row>
    <row r="102" ht="15.75" customHeight="1">
      <c r="A102" s="162">
        <v>5.39</v>
      </c>
      <c r="B102" s="163" t="s">
        <v>219</v>
      </c>
      <c r="C102" s="164"/>
      <c r="D102" s="164"/>
      <c r="E102" s="165"/>
    </row>
    <row r="103" ht="15.75" customHeight="1">
      <c r="A103" s="166" t="s">
        <v>220</v>
      </c>
      <c r="B103" s="163" t="s">
        <v>221</v>
      </c>
      <c r="C103" s="164"/>
      <c r="D103" s="164"/>
      <c r="E103" s="167"/>
    </row>
    <row r="104" ht="15.75" customHeight="1">
      <c r="A104" s="162">
        <v>5.41</v>
      </c>
      <c r="B104" s="163" t="s">
        <v>222</v>
      </c>
      <c r="C104" s="164"/>
      <c r="D104" s="164"/>
      <c r="E104" s="167"/>
    </row>
    <row r="105" ht="15.75" customHeight="1">
      <c r="A105" s="162">
        <v>5.42</v>
      </c>
      <c r="B105" s="163" t="s">
        <v>223</v>
      </c>
      <c r="C105" s="164"/>
      <c r="D105" s="164"/>
      <c r="E105" s="167"/>
    </row>
    <row r="106" ht="15.75" customHeight="1">
      <c r="A106" s="162">
        <v>5.43</v>
      </c>
      <c r="B106" s="163" t="s">
        <v>224</v>
      </c>
      <c r="C106" s="164"/>
      <c r="D106" s="164"/>
      <c r="E106" s="167"/>
    </row>
    <row r="107" ht="15.75" customHeight="1">
      <c r="A107" s="171">
        <v>5.44</v>
      </c>
      <c r="B107" s="163" t="s">
        <v>225</v>
      </c>
      <c r="C107" s="164"/>
      <c r="D107" s="164"/>
      <c r="E107" s="167"/>
    </row>
    <row r="108" ht="15.75" customHeight="1">
      <c r="A108" s="162"/>
      <c r="B108" s="163"/>
      <c r="C108" s="164"/>
      <c r="D108" s="164"/>
      <c r="E108" s="167"/>
    </row>
    <row r="109" ht="15.75" customHeight="1">
      <c r="A109" s="74" t="s">
        <v>226</v>
      </c>
      <c r="B109" s="160" t="s">
        <v>227</v>
      </c>
      <c r="C109" s="169"/>
      <c r="D109" s="169"/>
      <c r="E109" s="170"/>
    </row>
    <row r="110" ht="15.75" customHeight="1">
      <c r="A110" s="162">
        <v>6.1</v>
      </c>
      <c r="B110" s="163" t="s">
        <v>228</v>
      </c>
      <c r="C110" s="164"/>
      <c r="D110" s="164"/>
      <c r="E110" s="165"/>
    </row>
    <row r="111" ht="15.75" customHeight="1">
      <c r="A111" s="162">
        <v>6.2</v>
      </c>
      <c r="B111" s="163" t="s">
        <v>229</v>
      </c>
      <c r="C111" s="164"/>
      <c r="D111" s="164"/>
      <c r="E111" s="165"/>
    </row>
    <row r="112" ht="15.75" customHeight="1">
      <c r="A112" s="162">
        <v>6.3</v>
      </c>
      <c r="B112" s="163" t="s">
        <v>230</v>
      </c>
      <c r="C112" s="164"/>
      <c r="D112" s="164"/>
      <c r="E112" s="165"/>
    </row>
    <row r="113" ht="15.75" customHeight="1">
      <c r="A113" s="162">
        <v>6.4</v>
      </c>
      <c r="B113" s="163" t="s">
        <v>231</v>
      </c>
      <c r="C113" s="164"/>
      <c r="D113" s="164"/>
      <c r="E113" s="165"/>
    </row>
    <row r="114" ht="15.75" customHeight="1">
      <c r="A114" s="162">
        <v>6.5</v>
      </c>
      <c r="B114" s="163" t="s">
        <v>232</v>
      </c>
      <c r="C114" s="164"/>
      <c r="D114" s="164"/>
      <c r="E114" s="165"/>
    </row>
    <row r="115" ht="15.75" customHeight="1">
      <c r="A115" s="162">
        <v>6.6</v>
      </c>
      <c r="B115" s="163" t="s">
        <v>233</v>
      </c>
      <c r="C115" s="164"/>
      <c r="D115" s="164"/>
      <c r="E115" s="165"/>
    </row>
    <row r="116" ht="15.75" customHeight="1">
      <c r="A116" s="162">
        <v>6.7</v>
      </c>
      <c r="B116" s="163" t="s">
        <v>234</v>
      </c>
      <c r="C116" s="164"/>
      <c r="D116" s="164"/>
      <c r="E116" s="165"/>
    </row>
    <row r="117" ht="15.75" customHeight="1">
      <c r="A117" s="162"/>
      <c r="B117" s="163"/>
      <c r="C117" s="164"/>
      <c r="D117" s="164"/>
      <c r="E117" s="165"/>
    </row>
    <row r="118" ht="15.75" customHeight="1">
      <c r="A118" s="168"/>
      <c r="B118" s="76" t="s">
        <v>235</v>
      </c>
      <c r="C118" s="169"/>
      <c r="D118" s="169"/>
      <c r="E118" s="170"/>
    </row>
    <row r="119" ht="15.75" customHeight="1">
      <c r="A119" s="162">
        <v>7.1</v>
      </c>
      <c r="B119" s="163" t="s">
        <v>236</v>
      </c>
      <c r="C119" s="164"/>
      <c r="D119" s="164"/>
      <c r="E119" s="165"/>
    </row>
    <row r="120" ht="15.75" customHeight="1">
      <c r="A120" s="162">
        <v>7.2</v>
      </c>
      <c r="B120" s="163" t="s">
        <v>237</v>
      </c>
      <c r="C120" s="164"/>
      <c r="D120" s="164"/>
      <c r="E120" s="165"/>
    </row>
    <row r="121" ht="15.75" customHeight="1">
      <c r="A121" s="162">
        <v>7.3</v>
      </c>
      <c r="B121" s="163" t="s">
        <v>238</v>
      </c>
      <c r="C121" s="164"/>
      <c r="D121" s="164"/>
      <c r="E121" s="165"/>
    </row>
    <row r="122" ht="15.75" customHeight="1">
      <c r="A122" s="162"/>
      <c r="B122" s="163"/>
      <c r="C122" s="164"/>
      <c r="D122" s="164"/>
      <c r="E122" s="165"/>
    </row>
    <row r="123" ht="15.75" customHeight="1">
      <c r="A123" s="168"/>
      <c r="B123" s="76" t="s">
        <v>239</v>
      </c>
      <c r="C123" s="169"/>
      <c r="D123" s="169"/>
      <c r="E123" s="170"/>
    </row>
    <row r="124" ht="15.75" customHeight="1">
      <c r="A124" s="162">
        <v>8.1</v>
      </c>
      <c r="B124" s="163" t="s">
        <v>240</v>
      </c>
      <c r="C124" s="164"/>
      <c r="D124" s="164"/>
      <c r="E124" s="165"/>
    </row>
    <row r="125" ht="15.75" customHeight="1">
      <c r="A125" s="162">
        <v>8.2</v>
      </c>
      <c r="B125" s="163" t="s">
        <v>241</v>
      </c>
      <c r="C125" s="164"/>
      <c r="D125" s="164"/>
      <c r="E125" s="165"/>
    </row>
    <row r="126" ht="15.75" customHeight="1">
      <c r="A126" s="162">
        <v>8.3</v>
      </c>
      <c r="B126" s="163" t="s">
        <v>242</v>
      </c>
      <c r="C126" s="164"/>
      <c r="D126" s="164"/>
      <c r="E126" s="165"/>
    </row>
    <row r="127" ht="15.75" customHeight="1">
      <c r="A127" s="162">
        <v>8.4</v>
      </c>
      <c r="B127" s="163" t="s">
        <v>243</v>
      </c>
      <c r="C127" s="164"/>
      <c r="D127" s="164"/>
      <c r="E127" s="165"/>
    </row>
    <row r="128" ht="15.75" customHeight="1">
      <c r="A128" s="162">
        <v>8.5</v>
      </c>
      <c r="B128" s="163" t="s">
        <v>244</v>
      </c>
      <c r="C128" s="164"/>
      <c r="D128" s="164"/>
      <c r="E128" s="165"/>
    </row>
    <row r="129" ht="15.75" customHeight="1">
      <c r="A129" s="162">
        <v>8.6</v>
      </c>
      <c r="B129" s="163" t="s">
        <v>245</v>
      </c>
      <c r="C129" s="164"/>
      <c r="D129" s="164"/>
      <c r="E129" s="165"/>
    </row>
    <row r="130" ht="15.75" customHeight="1">
      <c r="A130" s="162">
        <v>8.7</v>
      </c>
      <c r="B130" s="163" t="s">
        <v>246</v>
      </c>
      <c r="C130" s="164"/>
      <c r="D130" s="164"/>
      <c r="E130" s="165"/>
    </row>
    <row r="131" ht="15.75" customHeight="1">
      <c r="A131" s="162">
        <v>8.8</v>
      </c>
      <c r="B131" s="163" t="s">
        <v>247</v>
      </c>
      <c r="C131" s="164"/>
      <c r="D131" s="164"/>
      <c r="E131" s="165"/>
    </row>
    <row r="132" ht="15.75" customHeight="1">
      <c r="A132" s="162">
        <v>8.9</v>
      </c>
      <c r="B132" s="163" t="s">
        <v>248</v>
      </c>
      <c r="C132" s="164"/>
      <c r="D132" s="164"/>
      <c r="E132" s="165"/>
    </row>
    <row r="133" ht="15.75" customHeight="1">
      <c r="A133" s="166" t="s">
        <v>249</v>
      </c>
      <c r="B133" s="163" t="s">
        <v>250</v>
      </c>
      <c r="C133" s="164"/>
      <c r="D133" s="164"/>
      <c r="E133" s="165"/>
    </row>
    <row r="134" ht="15.75" customHeight="1">
      <c r="A134" s="162">
        <v>8.11</v>
      </c>
      <c r="B134" s="163" t="s">
        <v>251</v>
      </c>
      <c r="C134" s="164"/>
      <c r="D134" s="164"/>
      <c r="E134" s="165"/>
    </row>
    <row r="135" ht="15.75" customHeight="1">
      <c r="A135" s="162">
        <v>8.12</v>
      </c>
      <c r="B135" s="163" t="s">
        <v>252</v>
      </c>
      <c r="C135" s="164"/>
      <c r="D135" s="164"/>
      <c r="E135" s="165"/>
    </row>
    <row r="136" ht="15.75" customHeight="1">
      <c r="A136" s="171">
        <v>8.13</v>
      </c>
      <c r="B136" s="163" t="s">
        <v>253</v>
      </c>
      <c r="C136" s="164"/>
      <c r="D136" s="164"/>
      <c r="E136" s="165"/>
    </row>
    <row r="137" ht="15.75" customHeight="1">
      <c r="A137" s="171">
        <v>8.14</v>
      </c>
      <c r="B137" s="163" t="s">
        <v>254</v>
      </c>
      <c r="C137" s="164"/>
      <c r="D137" s="164"/>
      <c r="E137" s="165"/>
    </row>
    <row r="138" ht="15.75" customHeight="1">
      <c r="A138" s="162"/>
      <c r="B138" s="163"/>
      <c r="C138" s="164"/>
      <c r="D138" s="164"/>
      <c r="E138" s="165"/>
    </row>
    <row r="139" ht="15.75" customHeight="1">
      <c r="A139" s="168"/>
      <c r="B139" s="76" t="s">
        <v>255</v>
      </c>
      <c r="C139" s="169"/>
      <c r="D139" s="169"/>
      <c r="E139" s="170"/>
    </row>
    <row r="140" ht="15.75" customHeight="1">
      <c r="A140" s="162">
        <v>9.1</v>
      </c>
      <c r="B140" s="163" t="s">
        <v>256</v>
      </c>
      <c r="C140" s="164"/>
      <c r="D140" s="164"/>
      <c r="E140" s="165"/>
    </row>
    <row r="141" ht="15.75" customHeight="1">
      <c r="A141" s="162">
        <v>9.2</v>
      </c>
      <c r="B141" s="163" t="s">
        <v>257</v>
      </c>
      <c r="C141" s="164"/>
      <c r="D141" s="164"/>
      <c r="E141" s="165"/>
    </row>
    <row r="142" ht="15.75" customHeight="1">
      <c r="A142" s="162">
        <v>9.3</v>
      </c>
      <c r="B142" s="163" t="s">
        <v>258</v>
      </c>
      <c r="C142" s="164"/>
      <c r="D142" s="164"/>
      <c r="E142" s="165"/>
    </row>
    <row r="143" ht="15.75" customHeight="1">
      <c r="A143" s="162"/>
      <c r="B143" s="163"/>
      <c r="C143" s="164"/>
      <c r="D143" s="164"/>
      <c r="E143" s="165"/>
    </row>
    <row r="144" ht="15.75" customHeight="1">
      <c r="A144" s="168"/>
      <c r="B144" s="76" t="s">
        <v>259</v>
      </c>
      <c r="C144" s="169"/>
      <c r="D144" s="169"/>
      <c r="E144" s="170"/>
    </row>
    <row r="145" ht="15.75" customHeight="1">
      <c r="A145" s="162">
        <v>10.1</v>
      </c>
      <c r="B145" s="163" t="s">
        <v>260</v>
      </c>
      <c r="C145" s="164"/>
      <c r="D145" s="164"/>
      <c r="E145" s="165"/>
    </row>
    <row r="146" ht="15.75" customHeight="1">
      <c r="A146" s="162">
        <v>10.2</v>
      </c>
      <c r="B146" s="163" t="s">
        <v>261</v>
      </c>
      <c r="C146" s="164"/>
      <c r="D146" s="164"/>
      <c r="E146" s="165"/>
    </row>
    <row r="147" ht="15.75" customHeight="1">
      <c r="A147" s="162"/>
      <c r="B147" s="163"/>
      <c r="C147" s="164"/>
      <c r="D147" s="164"/>
      <c r="E147" s="165"/>
    </row>
    <row r="148" ht="15.75" customHeight="1">
      <c r="A148" s="168"/>
      <c r="B148" s="76" t="s">
        <v>262</v>
      </c>
      <c r="C148" s="169"/>
      <c r="D148" s="169"/>
      <c r="E148" s="170"/>
    </row>
    <row r="149" ht="15.75" customHeight="1">
      <c r="A149" s="172">
        <v>11.1</v>
      </c>
      <c r="B149" s="163" t="s">
        <v>263</v>
      </c>
      <c r="C149" s="164"/>
      <c r="D149" s="164"/>
      <c r="E149" s="165"/>
    </row>
    <row r="150" ht="15.75" customHeight="1">
      <c r="A150" s="172">
        <v>11.2</v>
      </c>
      <c r="B150" s="163" t="s">
        <v>264</v>
      </c>
      <c r="C150" s="164"/>
      <c r="D150" s="164"/>
      <c r="E150" s="165"/>
    </row>
    <row r="151" ht="15.75" customHeight="1">
      <c r="A151" s="172">
        <v>11.3</v>
      </c>
      <c r="B151" s="163" t="s">
        <v>265</v>
      </c>
      <c r="C151" s="164"/>
      <c r="D151" s="164"/>
      <c r="E151" s="165"/>
    </row>
    <row r="152" ht="15.75" customHeight="1">
      <c r="A152" s="172">
        <v>11.4</v>
      </c>
      <c r="B152" s="163" t="s">
        <v>266</v>
      </c>
      <c r="C152" s="164"/>
      <c r="D152" s="164"/>
      <c r="E152" s="165"/>
    </row>
    <row r="153" ht="15.75" customHeight="1">
      <c r="A153" s="172">
        <v>11.5</v>
      </c>
      <c r="B153" s="163" t="s">
        <v>267</v>
      </c>
      <c r="C153" s="164"/>
      <c r="D153" s="164"/>
      <c r="E153" s="165"/>
    </row>
    <row r="154" ht="15.75" customHeight="1">
      <c r="A154" s="172">
        <v>11.6</v>
      </c>
      <c r="B154" s="163" t="s">
        <v>268</v>
      </c>
      <c r="C154" s="164"/>
      <c r="D154" s="164"/>
      <c r="E154" s="165"/>
    </row>
    <row r="155" ht="15.75" customHeight="1">
      <c r="A155" s="172">
        <v>11.7</v>
      </c>
      <c r="B155" s="163" t="s">
        <v>269</v>
      </c>
      <c r="C155" s="164"/>
      <c r="D155" s="164"/>
      <c r="E155" s="165"/>
    </row>
    <row r="156" ht="15.75" customHeight="1">
      <c r="A156" s="172">
        <v>11.8</v>
      </c>
      <c r="B156" s="163" t="s">
        <v>270</v>
      </c>
      <c r="C156" s="164"/>
      <c r="D156" s="164"/>
      <c r="E156" s="165"/>
    </row>
    <row r="157" ht="15.75" customHeight="1">
      <c r="A157" s="172">
        <v>11.9</v>
      </c>
      <c r="B157" s="163" t="s">
        <v>271</v>
      </c>
      <c r="C157" s="164"/>
      <c r="D157" s="164"/>
      <c r="E157" s="165"/>
    </row>
    <row r="158" ht="15.75" customHeight="1">
      <c r="A158" s="172"/>
      <c r="B158" s="163"/>
      <c r="C158" s="164"/>
      <c r="D158" s="164"/>
      <c r="E158" s="165"/>
    </row>
    <row r="159" ht="15.75" customHeight="1">
      <c r="A159" s="168"/>
      <c r="B159" s="76" t="s">
        <v>272</v>
      </c>
      <c r="C159" s="169"/>
      <c r="D159" s="169"/>
      <c r="E159" s="170"/>
    </row>
    <row r="160" ht="15.75" customHeight="1">
      <c r="A160" s="172">
        <v>12.1</v>
      </c>
      <c r="B160" s="163" t="s">
        <v>273</v>
      </c>
      <c r="C160" s="164"/>
      <c r="D160" s="164"/>
      <c r="E160" s="165"/>
    </row>
    <row r="161" ht="15.75" customHeight="1">
      <c r="A161" s="172">
        <v>12.2</v>
      </c>
      <c r="B161" s="163" t="s">
        <v>274</v>
      </c>
      <c r="C161" s="164"/>
      <c r="D161" s="164"/>
      <c r="E161" s="165"/>
    </row>
    <row r="162" ht="15.75" customHeight="1">
      <c r="A162" s="172">
        <v>12.3</v>
      </c>
      <c r="B162" s="163" t="s">
        <v>275</v>
      </c>
      <c r="C162" s="164"/>
      <c r="D162" s="164"/>
      <c r="E162" s="165"/>
    </row>
    <row r="163" ht="15.75" customHeight="1">
      <c r="A163" s="173"/>
      <c r="B163" s="174"/>
      <c r="C163" s="175"/>
      <c r="D163" s="175"/>
      <c r="E163" s="176"/>
    </row>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163">
      <formula1>"Full Support,On the Roadmap,Third Party required,Not supported"</formula1>
    </dataValidation>
    <dataValidation type="list" allowBlank="1" sqref="C2:C163">
      <formula1>"High,Medium,Low"</formula1>
    </dataValidation>
  </dataValidations>
  <printOptions/>
  <pageMargins bottom="0.75" footer="0.0" header="0.0" left="0.7" right="0.7" top="0.75"/>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0"/>
    <col customWidth="1" min="2" max="3" width="17.75"/>
    <col customWidth="1" min="4" max="6" width="14.5"/>
  </cols>
  <sheetData>
    <row r="1">
      <c r="A1" s="177" t="s">
        <v>419</v>
      </c>
      <c r="B1" s="178" t="s">
        <v>420</v>
      </c>
    </row>
    <row r="2" ht="24.0" customHeight="1">
      <c r="A2" s="179" t="s">
        <v>421</v>
      </c>
      <c r="B2" s="180"/>
      <c r="C2" s="181" t="s">
        <v>422</v>
      </c>
      <c r="D2" s="182"/>
      <c r="E2" s="183"/>
      <c r="F2" s="183"/>
      <c r="G2" s="183"/>
      <c r="H2" s="183"/>
      <c r="I2" s="183"/>
      <c r="J2" s="183"/>
      <c r="K2" s="183"/>
      <c r="L2" s="183"/>
      <c r="M2" s="183"/>
      <c r="N2" s="183"/>
      <c r="O2" s="183"/>
      <c r="P2" s="183"/>
      <c r="Q2" s="183"/>
      <c r="R2" s="183"/>
      <c r="S2" s="183"/>
      <c r="T2" s="183"/>
      <c r="U2" s="183"/>
      <c r="V2" s="183"/>
      <c r="W2" s="183"/>
      <c r="X2" s="183"/>
      <c r="Y2" s="183"/>
      <c r="Z2" s="183"/>
    </row>
    <row r="3" ht="15.75" customHeight="1">
      <c r="A3" s="184" t="s">
        <v>423</v>
      </c>
      <c r="B3" s="185"/>
      <c r="C3" s="186" t="s">
        <v>424</v>
      </c>
      <c r="D3" s="187"/>
    </row>
    <row r="4" ht="15.75" customHeight="1">
      <c r="A4" s="184" t="s">
        <v>425</v>
      </c>
      <c r="B4" s="185"/>
      <c r="C4" s="186" t="s">
        <v>424</v>
      </c>
    </row>
    <row r="5" ht="15.75" customHeight="1">
      <c r="A5" s="184" t="s">
        <v>426</v>
      </c>
      <c r="B5" s="185"/>
      <c r="C5" s="186" t="s">
        <v>424</v>
      </c>
    </row>
    <row r="6" ht="15.75" customHeight="1">
      <c r="A6" s="184" t="s">
        <v>427</v>
      </c>
      <c r="B6" s="185"/>
      <c r="C6" s="186" t="s">
        <v>424</v>
      </c>
    </row>
    <row r="7" ht="15.75" customHeight="1">
      <c r="A7" s="184" t="s">
        <v>428</v>
      </c>
      <c r="B7" s="185"/>
      <c r="C7" s="186" t="s">
        <v>424</v>
      </c>
    </row>
    <row r="8" ht="15.75" customHeight="1">
      <c r="A8" s="184" t="s">
        <v>429</v>
      </c>
      <c r="B8" s="185"/>
      <c r="C8" s="186" t="s">
        <v>424</v>
      </c>
    </row>
    <row r="9" ht="15.75" customHeight="1">
      <c r="A9" s="184" t="s">
        <v>430</v>
      </c>
      <c r="B9" s="185"/>
      <c r="C9" s="186" t="s">
        <v>424</v>
      </c>
    </row>
    <row r="10" ht="15.75" customHeight="1">
      <c r="A10" s="184" t="s">
        <v>431</v>
      </c>
      <c r="B10" s="185"/>
      <c r="C10" s="186" t="s">
        <v>424</v>
      </c>
    </row>
    <row r="11" ht="15.75" customHeight="1">
      <c r="A11" s="184" t="s">
        <v>432</v>
      </c>
      <c r="B11" s="185"/>
      <c r="C11" s="186" t="s">
        <v>424</v>
      </c>
    </row>
    <row r="12" ht="15.75" customHeight="1">
      <c r="A12" s="184" t="s">
        <v>433</v>
      </c>
      <c r="B12" s="185"/>
      <c r="C12" s="186" t="s">
        <v>424</v>
      </c>
    </row>
    <row r="13" ht="15.75" customHeight="1">
      <c r="A13" s="184" t="s">
        <v>434</v>
      </c>
      <c r="B13" s="185"/>
      <c r="C13" s="186" t="s">
        <v>424</v>
      </c>
    </row>
    <row r="14" ht="15.75" customHeight="1">
      <c r="A14" s="184" t="s">
        <v>435</v>
      </c>
      <c r="B14" s="185"/>
      <c r="C14" s="186" t="s">
        <v>424</v>
      </c>
    </row>
    <row r="15" ht="15.75" customHeight="1">
      <c r="A15" s="184" t="s">
        <v>436</v>
      </c>
      <c r="B15" s="185"/>
      <c r="C15" s="186" t="s">
        <v>424</v>
      </c>
    </row>
    <row r="16" ht="15.75" customHeight="1">
      <c r="A16" s="184" t="s">
        <v>437</v>
      </c>
      <c r="B16" s="185"/>
      <c r="C16" s="186" t="s">
        <v>424</v>
      </c>
    </row>
    <row r="17" ht="15.75" customHeight="1">
      <c r="A17" s="184" t="s">
        <v>438</v>
      </c>
      <c r="B17" s="185"/>
      <c r="C17" s="186" t="s">
        <v>424</v>
      </c>
    </row>
    <row r="18" ht="15.75" customHeight="1">
      <c r="A18" s="184" t="s">
        <v>439</v>
      </c>
      <c r="B18" s="185"/>
      <c r="C18" s="186" t="s">
        <v>424</v>
      </c>
    </row>
    <row r="19" ht="15.75" customHeight="1">
      <c r="A19" s="184" t="s">
        <v>440</v>
      </c>
      <c r="B19" s="185"/>
      <c r="C19" s="186" t="s">
        <v>424</v>
      </c>
    </row>
    <row r="20" ht="15.75" customHeight="1">
      <c r="A20" s="184" t="s">
        <v>441</v>
      </c>
      <c r="B20" s="185"/>
      <c r="C20" s="186" t="s">
        <v>424</v>
      </c>
    </row>
    <row r="21" ht="15.75" customHeight="1">
      <c r="A21" s="184" t="s">
        <v>442</v>
      </c>
      <c r="B21" s="185"/>
      <c r="C21" s="186" t="s">
        <v>424</v>
      </c>
    </row>
    <row r="22" ht="15.75" customHeight="1">
      <c r="A22" s="184" t="s">
        <v>443</v>
      </c>
      <c r="B22" s="185"/>
      <c r="C22" s="186" t="s">
        <v>424</v>
      </c>
    </row>
    <row r="23" ht="15.75" customHeight="1">
      <c r="A23" s="184" t="s">
        <v>444</v>
      </c>
      <c r="B23" s="185"/>
      <c r="C23" s="186" t="s">
        <v>424</v>
      </c>
    </row>
    <row r="24" ht="15.75" customHeight="1">
      <c r="A24" s="184" t="s">
        <v>445</v>
      </c>
      <c r="B24" s="185"/>
      <c r="C24" s="186" t="s">
        <v>424</v>
      </c>
    </row>
    <row r="25" ht="15.75" customHeight="1">
      <c r="A25" s="184" t="s">
        <v>446</v>
      </c>
      <c r="B25" s="185"/>
      <c r="C25" s="186" t="s">
        <v>424</v>
      </c>
    </row>
    <row r="26" ht="15.75" customHeight="1">
      <c r="A26" s="184" t="s">
        <v>447</v>
      </c>
      <c r="B26" s="185"/>
      <c r="C26" s="186" t="s">
        <v>424</v>
      </c>
    </row>
    <row r="27" ht="15.75" customHeight="1">
      <c r="A27" s="184" t="s">
        <v>448</v>
      </c>
      <c r="B27" s="185"/>
      <c r="C27" s="186" t="s">
        <v>424</v>
      </c>
    </row>
    <row r="28" ht="15.75" customHeight="1">
      <c r="A28" s="184" t="s">
        <v>449</v>
      </c>
      <c r="B28" s="185"/>
      <c r="C28" s="186" t="s">
        <v>424</v>
      </c>
    </row>
    <row r="29" ht="15.75" customHeight="1">
      <c r="A29" s="184" t="s">
        <v>450</v>
      </c>
      <c r="B29" s="185"/>
      <c r="C29" s="186" t="s">
        <v>424</v>
      </c>
    </row>
    <row r="30" ht="15.75" customHeight="1">
      <c r="A30" s="184" t="s">
        <v>451</v>
      </c>
      <c r="B30" s="185"/>
      <c r="C30" s="186" t="s">
        <v>424</v>
      </c>
    </row>
    <row r="31" ht="15.75" customHeight="1">
      <c r="A31" s="184" t="s">
        <v>452</v>
      </c>
      <c r="B31" s="185"/>
      <c r="C31" s="186" t="s">
        <v>424</v>
      </c>
    </row>
    <row r="32" ht="15.75" customHeight="1">
      <c r="A32" s="184" t="s">
        <v>453</v>
      </c>
      <c r="B32" s="185"/>
      <c r="C32" s="186" t="s">
        <v>424</v>
      </c>
    </row>
    <row r="33" ht="15.75" customHeight="1">
      <c r="A33" s="184" t="s">
        <v>454</v>
      </c>
      <c r="B33" s="185"/>
      <c r="C33" s="186" t="s">
        <v>424</v>
      </c>
    </row>
    <row r="34" ht="15.75" customHeight="1">
      <c r="A34" s="184" t="s">
        <v>455</v>
      </c>
      <c r="B34" s="185"/>
      <c r="C34" s="186" t="s">
        <v>424</v>
      </c>
    </row>
    <row r="35" ht="15.75" customHeight="1">
      <c r="A35" s="184" t="s">
        <v>456</v>
      </c>
      <c r="B35" s="185"/>
      <c r="C35" s="186" t="s">
        <v>424</v>
      </c>
    </row>
    <row r="36" ht="15.75" customHeight="1">
      <c r="A36" s="184" t="s">
        <v>457</v>
      </c>
      <c r="B36" s="185"/>
      <c r="C36" s="186" t="s">
        <v>424</v>
      </c>
    </row>
    <row r="37" ht="15.75" customHeight="1">
      <c r="A37" s="184" t="s">
        <v>458</v>
      </c>
      <c r="B37" s="185"/>
      <c r="C37" s="186" t="s">
        <v>424</v>
      </c>
    </row>
    <row r="38" ht="15.75" customHeight="1">
      <c r="A38" s="184" t="s">
        <v>459</v>
      </c>
      <c r="B38" s="185"/>
      <c r="C38" s="186" t="s">
        <v>424</v>
      </c>
    </row>
    <row r="39" ht="15.75" customHeight="1">
      <c r="A39" s="184" t="s">
        <v>460</v>
      </c>
      <c r="B39" s="185"/>
      <c r="C39" s="186" t="s">
        <v>424</v>
      </c>
    </row>
    <row r="40" ht="15.75" customHeight="1">
      <c r="A40" s="184" t="s">
        <v>461</v>
      </c>
      <c r="B40" s="185"/>
      <c r="C40" s="186" t="s">
        <v>424</v>
      </c>
    </row>
    <row r="41" ht="15.75" customHeight="1">
      <c r="A41" s="184" t="s">
        <v>462</v>
      </c>
      <c r="B41" s="185"/>
      <c r="C41" s="186" t="s">
        <v>424</v>
      </c>
    </row>
    <row r="42" ht="15.75" customHeight="1">
      <c r="A42" s="184" t="s">
        <v>463</v>
      </c>
      <c r="B42" s="185"/>
      <c r="C42" s="186" t="s">
        <v>424</v>
      </c>
    </row>
    <row r="43" ht="15.75" customHeight="1">
      <c r="A43" s="184" t="s">
        <v>464</v>
      </c>
      <c r="B43" s="185"/>
      <c r="C43" s="186" t="s">
        <v>424</v>
      </c>
    </row>
    <row r="44" ht="15.75" customHeight="1">
      <c r="A44" s="184" t="s">
        <v>465</v>
      </c>
      <c r="B44" s="185"/>
      <c r="C44" s="186" t="s">
        <v>424</v>
      </c>
    </row>
    <row r="45" ht="15.75" customHeight="1">
      <c r="A45" s="184" t="s">
        <v>466</v>
      </c>
      <c r="B45" s="185"/>
      <c r="C45" s="186" t="s">
        <v>424</v>
      </c>
    </row>
    <row r="46" ht="15.75" customHeight="1">
      <c r="A46" s="184" t="s">
        <v>467</v>
      </c>
      <c r="B46" s="185"/>
      <c r="C46" s="186" t="s">
        <v>424</v>
      </c>
    </row>
    <row r="47" ht="15.75" customHeight="1">
      <c r="A47" s="184" t="s">
        <v>468</v>
      </c>
      <c r="B47" s="185"/>
      <c r="C47" s="186" t="s">
        <v>424</v>
      </c>
    </row>
    <row r="48" ht="15.75" customHeight="1">
      <c r="A48" s="184" t="s">
        <v>469</v>
      </c>
      <c r="B48" s="185"/>
      <c r="C48" s="186" t="s">
        <v>424</v>
      </c>
    </row>
    <row r="49" ht="15.75" customHeight="1">
      <c r="A49" s="184" t="s">
        <v>470</v>
      </c>
      <c r="B49" s="185"/>
      <c r="C49" s="186" t="s">
        <v>424</v>
      </c>
    </row>
    <row r="50" ht="15.75" customHeight="1">
      <c r="A50" s="184" t="s">
        <v>471</v>
      </c>
      <c r="B50" s="185"/>
      <c r="C50" s="186" t="s">
        <v>424</v>
      </c>
    </row>
    <row r="51" ht="15.75" customHeight="1">
      <c r="A51" s="184" t="s">
        <v>472</v>
      </c>
      <c r="B51" s="185"/>
      <c r="C51" s="186" t="s">
        <v>424</v>
      </c>
    </row>
    <row r="52" ht="15.75" customHeight="1">
      <c r="A52" s="184" t="s">
        <v>473</v>
      </c>
      <c r="B52" s="185"/>
      <c r="C52" s="186" t="s">
        <v>424</v>
      </c>
    </row>
    <row r="53" ht="15.75" customHeight="1">
      <c r="A53" s="184" t="s">
        <v>474</v>
      </c>
      <c r="B53" s="185"/>
      <c r="C53" s="186" t="s">
        <v>424</v>
      </c>
    </row>
    <row r="54" ht="15.75" customHeight="1">
      <c r="A54" s="184" t="s">
        <v>475</v>
      </c>
      <c r="B54" s="185"/>
      <c r="C54" s="186" t="s">
        <v>424</v>
      </c>
    </row>
    <row r="55" ht="15.75" customHeight="1">
      <c r="A55" s="184" t="s">
        <v>476</v>
      </c>
      <c r="B55" s="185"/>
      <c r="C55" s="186" t="s">
        <v>424</v>
      </c>
    </row>
    <row r="56" ht="15.75" customHeight="1">
      <c r="A56" s="184" t="s">
        <v>477</v>
      </c>
      <c r="B56" s="185"/>
      <c r="C56" s="186" t="s">
        <v>424</v>
      </c>
    </row>
    <row r="57" ht="15.75" customHeight="1">
      <c r="A57" s="184" t="s">
        <v>478</v>
      </c>
      <c r="B57" s="185"/>
      <c r="C57" s="186" t="s">
        <v>424</v>
      </c>
    </row>
    <row r="58" ht="15.75" customHeight="1">
      <c r="A58" s="184" t="s">
        <v>479</v>
      </c>
      <c r="B58" s="185"/>
      <c r="C58" s="186" t="s">
        <v>424</v>
      </c>
    </row>
    <row r="59" ht="15.75" customHeight="1">
      <c r="A59" s="184" t="s">
        <v>480</v>
      </c>
      <c r="B59" s="185"/>
      <c r="C59" s="186" t="s">
        <v>424</v>
      </c>
    </row>
    <row r="60" ht="15.75" customHeight="1">
      <c r="A60" s="184" t="s">
        <v>481</v>
      </c>
      <c r="B60" s="185"/>
      <c r="C60" s="186" t="s">
        <v>424</v>
      </c>
    </row>
    <row r="61" ht="15.75" customHeight="1">
      <c r="A61" s="186" t="s">
        <v>482</v>
      </c>
      <c r="B61" s="146"/>
      <c r="C61" s="186" t="s">
        <v>424</v>
      </c>
    </row>
    <row r="62" ht="15.75" customHeight="1">
      <c r="A62" s="186" t="s">
        <v>483</v>
      </c>
      <c r="B62" s="146"/>
      <c r="C62" s="186" t="s">
        <v>424</v>
      </c>
    </row>
    <row r="63" ht="15.75" customHeight="1">
      <c r="A63" s="186" t="s">
        <v>484</v>
      </c>
      <c r="B63" s="146"/>
      <c r="C63" s="186" t="s">
        <v>424</v>
      </c>
    </row>
    <row r="64" ht="15.75" customHeight="1">
      <c r="A64" s="186" t="s">
        <v>485</v>
      </c>
      <c r="B64" s="146"/>
      <c r="C64" s="186" t="s">
        <v>424</v>
      </c>
    </row>
    <row r="65" ht="15.75" customHeight="1">
      <c r="A65" s="186" t="s">
        <v>486</v>
      </c>
      <c r="B65" s="146"/>
      <c r="C65" s="186" t="s">
        <v>424</v>
      </c>
    </row>
    <row r="66" ht="15.75" customHeight="1">
      <c r="A66" s="186" t="s">
        <v>487</v>
      </c>
      <c r="B66" s="146"/>
      <c r="C66" s="186" t="s">
        <v>424</v>
      </c>
    </row>
    <row r="67" ht="15.75" customHeight="1">
      <c r="A67" s="186" t="s">
        <v>488</v>
      </c>
      <c r="B67" s="146"/>
      <c r="C67" s="186" t="s">
        <v>424</v>
      </c>
    </row>
    <row r="68" ht="15.75" customHeight="1">
      <c r="A68" s="186" t="s">
        <v>489</v>
      </c>
      <c r="B68" s="146"/>
      <c r="C68" s="186" t="s">
        <v>424</v>
      </c>
    </row>
    <row r="69" ht="15.75" customHeight="1">
      <c r="A69" s="186" t="s">
        <v>490</v>
      </c>
      <c r="B69" s="146"/>
      <c r="C69" s="186" t="s">
        <v>424</v>
      </c>
    </row>
    <row r="70" ht="15.75" customHeight="1">
      <c r="A70" s="186" t="s">
        <v>491</v>
      </c>
      <c r="B70" s="146"/>
      <c r="C70" s="186" t="s">
        <v>424</v>
      </c>
    </row>
    <row r="71" ht="15.75" customHeight="1">
      <c r="A71" s="186" t="s">
        <v>492</v>
      </c>
      <c r="B71" s="146"/>
      <c r="C71" s="186" t="s">
        <v>424</v>
      </c>
    </row>
    <row r="72" ht="15.75" customHeight="1">
      <c r="A72" s="186" t="s">
        <v>493</v>
      </c>
      <c r="B72" s="146"/>
      <c r="C72" s="186" t="s">
        <v>424</v>
      </c>
    </row>
    <row r="73" ht="15.75" customHeight="1">
      <c r="A73" s="186" t="s">
        <v>494</v>
      </c>
      <c r="B73" s="146"/>
      <c r="C73" s="186" t="s">
        <v>424</v>
      </c>
    </row>
    <row r="74" ht="15.75" customHeight="1">
      <c r="A74" s="186" t="s">
        <v>495</v>
      </c>
      <c r="B74" s="146"/>
      <c r="C74" s="186" t="s">
        <v>424</v>
      </c>
    </row>
    <row r="75" ht="15.75" customHeight="1">
      <c r="A75" s="186" t="s">
        <v>496</v>
      </c>
      <c r="B75" s="146"/>
      <c r="C75" s="186" t="s">
        <v>424</v>
      </c>
    </row>
    <row r="76" ht="15.75" customHeight="1">
      <c r="A76" s="186" t="s">
        <v>497</v>
      </c>
      <c r="B76" s="146"/>
      <c r="C76" s="186" t="s">
        <v>424</v>
      </c>
    </row>
    <row r="77" ht="15.75" customHeight="1">
      <c r="A77" s="186" t="s">
        <v>498</v>
      </c>
      <c r="B77" s="146"/>
      <c r="C77" s="186" t="s">
        <v>424</v>
      </c>
    </row>
    <row r="78" ht="15.75" customHeight="1">
      <c r="A78" s="186" t="s">
        <v>499</v>
      </c>
      <c r="B78" s="146"/>
      <c r="C78" s="186" t="s">
        <v>424</v>
      </c>
    </row>
    <row r="79" ht="15.75" customHeight="1">
      <c r="A79" s="186" t="s">
        <v>500</v>
      </c>
      <c r="B79" s="146"/>
      <c r="C79" s="186" t="s">
        <v>424</v>
      </c>
    </row>
    <row r="80" ht="15.75" customHeight="1">
      <c r="A80" s="186" t="s">
        <v>501</v>
      </c>
      <c r="B80" s="146"/>
      <c r="C80" s="186" t="s">
        <v>424</v>
      </c>
    </row>
    <row r="81" ht="15.75" customHeight="1">
      <c r="A81" s="186" t="s">
        <v>502</v>
      </c>
      <c r="B81" s="146"/>
      <c r="C81" s="186" t="s">
        <v>424</v>
      </c>
    </row>
    <row r="82" ht="15.75" customHeight="1">
      <c r="A82" s="186" t="s">
        <v>503</v>
      </c>
      <c r="B82" s="146"/>
      <c r="C82" s="186" t="s">
        <v>424</v>
      </c>
    </row>
    <row r="83" ht="15.75" customHeight="1">
      <c r="A83" s="186" t="s">
        <v>504</v>
      </c>
      <c r="B83" s="146"/>
      <c r="C83" s="186" t="s">
        <v>424</v>
      </c>
    </row>
    <row r="84" ht="15.75" customHeight="1">
      <c r="A84" s="186" t="s">
        <v>505</v>
      </c>
      <c r="B84" s="146"/>
      <c r="C84" s="186" t="s">
        <v>424</v>
      </c>
    </row>
    <row r="85" ht="15.75" customHeight="1">
      <c r="A85" s="186" t="s">
        <v>506</v>
      </c>
      <c r="B85" s="146"/>
      <c r="C85" s="186" t="s">
        <v>424</v>
      </c>
    </row>
    <row r="86" ht="15.75" customHeight="1">
      <c r="A86" s="186" t="s">
        <v>507</v>
      </c>
      <c r="B86" s="146"/>
      <c r="C86" s="186" t="s">
        <v>424</v>
      </c>
    </row>
    <row r="87" ht="15.75" customHeight="1">
      <c r="A87" s="186" t="s">
        <v>508</v>
      </c>
      <c r="B87" s="146"/>
      <c r="C87" s="186" t="s">
        <v>424</v>
      </c>
    </row>
    <row r="88" ht="15.75" customHeight="1">
      <c r="A88" s="186" t="s">
        <v>509</v>
      </c>
      <c r="B88" s="146"/>
      <c r="C88" s="186" t="s">
        <v>424</v>
      </c>
    </row>
    <row r="89" ht="15.75" customHeight="1">
      <c r="A89" s="186" t="s">
        <v>510</v>
      </c>
      <c r="B89" s="146"/>
      <c r="C89" s="186" t="s">
        <v>424</v>
      </c>
    </row>
    <row r="90" ht="15.75" customHeight="1">
      <c r="A90" s="186" t="s">
        <v>511</v>
      </c>
      <c r="B90" s="146"/>
      <c r="C90" s="186" t="s">
        <v>424</v>
      </c>
    </row>
    <row r="91" ht="15.75" customHeight="1">
      <c r="A91" s="186" t="s">
        <v>512</v>
      </c>
      <c r="B91" s="146"/>
      <c r="C91" s="186" t="s">
        <v>424</v>
      </c>
    </row>
    <row r="92" ht="15.75" customHeight="1">
      <c r="A92" s="186" t="s">
        <v>513</v>
      </c>
      <c r="B92" s="146"/>
      <c r="C92" s="186" t="s">
        <v>424</v>
      </c>
    </row>
    <row r="93" ht="15.75" customHeight="1">
      <c r="A93" s="186" t="s">
        <v>514</v>
      </c>
      <c r="B93" s="146"/>
      <c r="C93" s="186" t="s">
        <v>424</v>
      </c>
    </row>
    <row r="94" ht="15.75" customHeight="1">
      <c r="A94" s="186" t="s">
        <v>515</v>
      </c>
      <c r="B94" s="146"/>
      <c r="C94" s="186" t="s">
        <v>424</v>
      </c>
    </row>
    <row r="95" ht="15.75" customHeight="1">
      <c r="A95" s="186" t="s">
        <v>516</v>
      </c>
      <c r="B95" s="146"/>
      <c r="C95" s="186" t="s">
        <v>424</v>
      </c>
    </row>
    <row r="96" ht="15.75" customHeight="1">
      <c r="A96" s="186" t="s">
        <v>517</v>
      </c>
      <c r="B96" s="146"/>
      <c r="C96" s="186" t="s">
        <v>424</v>
      </c>
    </row>
    <row r="97" ht="15.75" customHeight="1">
      <c r="A97" s="186" t="s">
        <v>518</v>
      </c>
      <c r="B97" s="146"/>
      <c r="C97" s="186" t="s">
        <v>424</v>
      </c>
    </row>
    <row r="98" ht="15.75" customHeight="1">
      <c r="A98" s="186" t="s">
        <v>519</v>
      </c>
      <c r="B98" s="146"/>
      <c r="C98" s="186" t="s">
        <v>424</v>
      </c>
    </row>
    <row r="99" ht="15.75" customHeight="1">
      <c r="A99" s="186" t="s">
        <v>520</v>
      </c>
      <c r="B99" s="146"/>
      <c r="C99" s="186" t="s">
        <v>424</v>
      </c>
    </row>
    <row r="100" ht="15.75" customHeight="1">
      <c r="A100" s="186" t="s">
        <v>521</v>
      </c>
      <c r="B100" s="146"/>
      <c r="C100" s="186" t="s">
        <v>424</v>
      </c>
    </row>
    <row r="101" ht="15.75" customHeight="1">
      <c r="A101" s="186" t="s">
        <v>522</v>
      </c>
      <c r="B101" s="146"/>
      <c r="C101" s="186" t="s">
        <v>424</v>
      </c>
    </row>
    <row r="102" ht="15.75" customHeight="1">
      <c r="A102" s="186" t="s">
        <v>523</v>
      </c>
      <c r="B102" s="146"/>
      <c r="C102" s="186" t="s">
        <v>424</v>
      </c>
    </row>
    <row r="103" ht="15.75" customHeight="1">
      <c r="A103" s="186" t="s">
        <v>524</v>
      </c>
      <c r="B103" s="146"/>
      <c r="C103" s="186" t="s">
        <v>424</v>
      </c>
    </row>
    <row r="104" ht="15.75" customHeight="1">
      <c r="A104" s="186" t="s">
        <v>525</v>
      </c>
      <c r="B104" s="146"/>
      <c r="C104" s="186" t="s">
        <v>424</v>
      </c>
    </row>
    <row r="105" ht="15.75" customHeight="1">
      <c r="A105" s="186" t="s">
        <v>526</v>
      </c>
      <c r="B105" s="146"/>
      <c r="C105" s="186" t="s">
        <v>424</v>
      </c>
    </row>
    <row r="106" ht="15.75" customHeight="1">
      <c r="A106" s="188" t="s">
        <v>527</v>
      </c>
      <c r="B106" s="146"/>
      <c r="C106" s="186" t="s">
        <v>424</v>
      </c>
    </row>
    <row r="107" ht="15.75" customHeight="1">
      <c r="A107" s="186" t="s">
        <v>528</v>
      </c>
      <c r="B107" s="146"/>
      <c r="C107" s="186" t="s">
        <v>424</v>
      </c>
    </row>
    <row r="108" ht="15.75" customHeight="1">
      <c r="A108" s="186" t="s">
        <v>529</v>
      </c>
      <c r="B108" s="146"/>
      <c r="C108" s="186" t="s">
        <v>424</v>
      </c>
    </row>
    <row r="109" ht="15.75" customHeight="1">
      <c r="A109" s="186" t="s">
        <v>530</v>
      </c>
      <c r="B109" s="146"/>
      <c r="C109" s="186" t="s">
        <v>424</v>
      </c>
    </row>
    <row r="110" ht="15.75" customHeight="1">
      <c r="A110" s="186" t="s">
        <v>531</v>
      </c>
      <c r="B110" s="146"/>
      <c r="C110" s="186" t="s">
        <v>424</v>
      </c>
    </row>
    <row r="111" ht="15.75" customHeight="1">
      <c r="A111" s="186" t="s">
        <v>532</v>
      </c>
      <c r="B111" s="146"/>
      <c r="C111" s="186" t="s">
        <v>424</v>
      </c>
    </row>
    <row r="112" ht="15.75" customHeight="1">
      <c r="A112" s="186" t="s">
        <v>533</v>
      </c>
      <c r="B112" s="146"/>
      <c r="C112" s="186" t="s">
        <v>424</v>
      </c>
    </row>
    <row r="113" ht="15.75" customHeight="1">
      <c r="A113" s="186" t="s">
        <v>534</v>
      </c>
      <c r="B113" s="146"/>
      <c r="C113" s="186" t="s">
        <v>424</v>
      </c>
    </row>
    <row r="114" ht="15.75" customHeight="1">
      <c r="A114" s="186" t="s">
        <v>535</v>
      </c>
      <c r="B114" s="146"/>
      <c r="C114" s="186" t="s">
        <v>424</v>
      </c>
    </row>
    <row r="115" ht="15.75" customHeight="1">
      <c r="A115" s="186" t="s">
        <v>536</v>
      </c>
      <c r="B115" s="146"/>
      <c r="C115" s="186" t="s">
        <v>424</v>
      </c>
    </row>
    <row r="116" ht="15.75" customHeight="1">
      <c r="A116" s="186" t="s">
        <v>537</v>
      </c>
      <c r="B116" s="146"/>
      <c r="C116" s="186" t="s">
        <v>424</v>
      </c>
    </row>
    <row r="117" ht="15.75" customHeight="1">
      <c r="A117" s="186" t="s">
        <v>538</v>
      </c>
      <c r="B117" s="146"/>
      <c r="C117" s="186" t="s">
        <v>424</v>
      </c>
    </row>
    <row r="118" ht="15.75" customHeight="1">
      <c r="A118" s="186" t="s">
        <v>539</v>
      </c>
      <c r="B118" s="146"/>
      <c r="C118" s="186" t="s">
        <v>424</v>
      </c>
    </row>
    <row r="119" ht="15.75" customHeight="1">
      <c r="A119" s="186" t="s">
        <v>540</v>
      </c>
      <c r="B119" s="146"/>
      <c r="C119" s="186" t="s">
        <v>424</v>
      </c>
    </row>
    <row r="120" ht="15.75" customHeight="1">
      <c r="A120" s="186" t="s">
        <v>541</v>
      </c>
      <c r="B120" s="146"/>
      <c r="C120" s="186" t="s">
        <v>424</v>
      </c>
    </row>
    <row r="121" ht="15.75" customHeight="1">
      <c r="A121" s="186" t="s">
        <v>542</v>
      </c>
      <c r="B121" s="146"/>
      <c r="C121" s="186" t="s">
        <v>424</v>
      </c>
    </row>
    <row r="122" ht="15.75" customHeight="1">
      <c r="A122" s="186" t="s">
        <v>543</v>
      </c>
      <c r="B122" s="146"/>
      <c r="C122" s="186" t="s">
        <v>424</v>
      </c>
    </row>
    <row r="123" ht="15.75" customHeight="1">
      <c r="A123" s="186" t="s">
        <v>544</v>
      </c>
      <c r="B123" s="146"/>
      <c r="C123" s="186" t="s">
        <v>424</v>
      </c>
    </row>
    <row r="124" ht="15.75" customHeight="1">
      <c r="A124" s="186" t="s">
        <v>545</v>
      </c>
      <c r="B124" s="146"/>
      <c r="C124" s="186" t="s">
        <v>424</v>
      </c>
    </row>
    <row r="125" ht="15.75" customHeight="1">
      <c r="A125" s="186" t="s">
        <v>546</v>
      </c>
      <c r="B125" s="146"/>
      <c r="C125" s="186" t="s">
        <v>424</v>
      </c>
    </row>
    <row r="126" ht="15.75" customHeight="1">
      <c r="A126" s="186" t="s">
        <v>547</v>
      </c>
      <c r="B126" s="146"/>
      <c r="C126" s="186" t="s">
        <v>424</v>
      </c>
    </row>
    <row r="127" ht="15.75" customHeight="1">
      <c r="A127" s="186" t="s">
        <v>548</v>
      </c>
      <c r="B127" s="146"/>
      <c r="C127" s="186" t="s">
        <v>424</v>
      </c>
    </row>
    <row r="128" ht="15.75" customHeight="1">
      <c r="A128" s="186" t="s">
        <v>549</v>
      </c>
      <c r="B128" s="146"/>
      <c r="C128" s="186" t="s">
        <v>424</v>
      </c>
    </row>
    <row r="129" ht="15.75" customHeight="1">
      <c r="A129" s="186" t="s">
        <v>550</v>
      </c>
      <c r="B129" s="146"/>
      <c r="C129" s="186" t="s">
        <v>424</v>
      </c>
    </row>
    <row r="130" ht="15.75" customHeight="1">
      <c r="A130" s="186" t="s">
        <v>551</v>
      </c>
      <c r="B130" s="146"/>
      <c r="C130" s="186" t="s">
        <v>424</v>
      </c>
    </row>
    <row r="131" ht="15.75" customHeight="1">
      <c r="A131" s="186" t="s">
        <v>552</v>
      </c>
      <c r="B131" s="146"/>
      <c r="C131" s="186" t="s">
        <v>424</v>
      </c>
    </row>
    <row r="132" ht="15.75" customHeight="1">
      <c r="A132" s="186" t="s">
        <v>553</v>
      </c>
      <c r="B132" s="146"/>
      <c r="C132" s="186" t="s">
        <v>424</v>
      </c>
    </row>
    <row r="133" ht="15.75" customHeight="1">
      <c r="A133" s="186" t="s">
        <v>554</v>
      </c>
      <c r="B133" s="146"/>
      <c r="C133" s="186" t="s">
        <v>424</v>
      </c>
    </row>
    <row r="134" ht="15.75" customHeight="1">
      <c r="A134" s="186" t="s">
        <v>555</v>
      </c>
      <c r="B134" s="146"/>
      <c r="C134" s="186" t="s">
        <v>424</v>
      </c>
    </row>
    <row r="135" ht="15.75" customHeight="1">
      <c r="A135" s="186" t="s">
        <v>556</v>
      </c>
      <c r="B135" s="146"/>
      <c r="C135" s="186" t="s">
        <v>424</v>
      </c>
    </row>
    <row r="136" ht="15.75" customHeight="1">
      <c r="A136" s="186" t="s">
        <v>557</v>
      </c>
      <c r="B136" s="146"/>
      <c r="C136" s="186" t="s">
        <v>424</v>
      </c>
    </row>
    <row r="137" ht="15.75" customHeight="1">
      <c r="A137" s="186" t="s">
        <v>558</v>
      </c>
      <c r="B137" s="146"/>
      <c r="C137" s="186" t="s">
        <v>424</v>
      </c>
    </row>
    <row r="138" ht="15.75" customHeight="1">
      <c r="A138" s="186" t="s">
        <v>559</v>
      </c>
      <c r="B138" s="146"/>
      <c r="C138" s="186" t="s">
        <v>424</v>
      </c>
    </row>
    <row r="139" ht="15.75" customHeight="1">
      <c r="A139" s="186" t="s">
        <v>560</v>
      </c>
      <c r="B139" s="146"/>
      <c r="C139" s="186" t="s">
        <v>424</v>
      </c>
    </row>
    <row r="140" ht="15.75" customHeight="1">
      <c r="A140" s="186" t="s">
        <v>561</v>
      </c>
      <c r="B140" s="146"/>
      <c r="C140" s="186" t="s">
        <v>424</v>
      </c>
    </row>
    <row r="141" ht="15.75" customHeight="1">
      <c r="A141" s="186" t="s">
        <v>562</v>
      </c>
      <c r="B141" s="146"/>
      <c r="C141" s="186" t="s">
        <v>424</v>
      </c>
    </row>
    <row r="142" ht="15.75" customHeight="1">
      <c r="A142" s="186" t="s">
        <v>563</v>
      </c>
      <c r="B142" s="146"/>
      <c r="C142" s="186" t="s">
        <v>424</v>
      </c>
    </row>
    <row r="143" ht="15.75" customHeight="1">
      <c r="A143" s="188" t="s">
        <v>564</v>
      </c>
      <c r="B143" s="146"/>
      <c r="C143" s="186" t="s">
        <v>424</v>
      </c>
    </row>
    <row r="144" ht="15.75" customHeight="1">
      <c r="A144" s="186" t="s">
        <v>565</v>
      </c>
      <c r="B144" s="146"/>
      <c r="C144" s="186" t="s">
        <v>424</v>
      </c>
    </row>
    <row r="145" ht="15.75" customHeight="1">
      <c r="A145" s="186" t="s">
        <v>566</v>
      </c>
      <c r="B145" s="146"/>
      <c r="C145" s="186" t="s">
        <v>424</v>
      </c>
    </row>
    <row r="146" ht="15.75" customHeight="1">
      <c r="A146" s="186" t="s">
        <v>567</v>
      </c>
      <c r="B146" s="146"/>
      <c r="C146" s="186" t="s">
        <v>424</v>
      </c>
    </row>
    <row r="147" ht="15.75" customHeight="1">
      <c r="A147" s="186" t="s">
        <v>568</v>
      </c>
      <c r="B147" s="146"/>
      <c r="C147" s="186" t="s">
        <v>424</v>
      </c>
    </row>
    <row r="148" ht="15.75" customHeight="1">
      <c r="A148" s="186" t="s">
        <v>569</v>
      </c>
      <c r="B148" s="146"/>
      <c r="C148" s="186" t="s">
        <v>424</v>
      </c>
    </row>
    <row r="149" ht="15.75" customHeight="1">
      <c r="A149" s="186" t="s">
        <v>570</v>
      </c>
      <c r="B149" s="146"/>
      <c r="C149" s="186" t="s">
        <v>424</v>
      </c>
    </row>
    <row r="150" ht="15.75" customHeight="1">
      <c r="A150" s="186" t="s">
        <v>571</v>
      </c>
      <c r="B150" s="146"/>
      <c r="C150" s="186" t="s">
        <v>424</v>
      </c>
    </row>
    <row r="151" ht="15.75" customHeight="1">
      <c r="A151" s="188" t="s">
        <v>572</v>
      </c>
      <c r="B151" s="146"/>
      <c r="C151" s="186" t="s">
        <v>424</v>
      </c>
    </row>
    <row r="152" ht="15.75" customHeight="1">
      <c r="A152" s="186" t="s">
        <v>573</v>
      </c>
      <c r="B152" s="146"/>
      <c r="C152" s="186" t="s">
        <v>424</v>
      </c>
    </row>
    <row r="153" ht="15.75" customHeight="1">
      <c r="A153" s="186" t="s">
        <v>574</v>
      </c>
      <c r="B153" s="146"/>
      <c r="C153" s="186" t="s">
        <v>424</v>
      </c>
    </row>
    <row r="154" ht="15.75" customHeight="1">
      <c r="A154" s="186" t="s">
        <v>575</v>
      </c>
      <c r="B154" s="146"/>
      <c r="C154" s="186" t="s">
        <v>424</v>
      </c>
    </row>
    <row r="155" ht="15.75" customHeight="1">
      <c r="A155" s="186" t="s">
        <v>576</v>
      </c>
      <c r="B155" s="146"/>
      <c r="C155" s="186" t="s">
        <v>424</v>
      </c>
    </row>
    <row r="156" ht="15.75" customHeight="1">
      <c r="A156" s="186" t="s">
        <v>577</v>
      </c>
      <c r="B156" s="146"/>
      <c r="C156" s="186" t="s">
        <v>424</v>
      </c>
    </row>
    <row r="157" ht="15.75" customHeight="1">
      <c r="A157" s="186" t="s">
        <v>578</v>
      </c>
      <c r="B157" s="146"/>
      <c r="C157" s="186" t="s">
        <v>424</v>
      </c>
    </row>
    <row r="158" ht="15.75" customHeight="1">
      <c r="A158" s="186" t="s">
        <v>579</v>
      </c>
      <c r="B158" s="146"/>
      <c r="C158" s="186" t="s">
        <v>424</v>
      </c>
    </row>
    <row r="159" ht="15.75" customHeight="1">
      <c r="A159" s="186" t="s">
        <v>580</v>
      </c>
      <c r="B159" s="146"/>
      <c r="C159" s="186" t="s">
        <v>424</v>
      </c>
    </row>
    <row r="160" ht="15.75" customHeight="1">
      <c r="A160" s="186" t="s">
        <v>581</v>
      </c>
      <c r="B160" s="146"/>
      <c r="C160" s="186" t="s">
        <v>424</v>
      </c>
    </row>
    <row r="161" ht="15.75" customHeight="1">
      <c r="A161" s="186" t="s">
        <v>582</v>
      </c>
      <c r="B161" s="146"/>
      <c r="C161" s="186" t="s">
        <v>424</v>
      </c>
    </row>
    <row r="162" ht="15.75" customHeight="1">
      <c r="A162" s="186" t="s">
        <v>583</v>
      </c>
      <c r="B162" s="146"/>
      <c r="C162" s="186" t="s">
        <v>424</v>
      </c>
    </row>
    <row r="163" ht="15.75" customHeight="1">
      <c r="A163" s="186" t="s">
        <v>584</v>
      </c>
      <c r="B163" s="146"/>
      <c r="C163" s="186" t="s">
        <v>424</v>
      </c>
    </row>
    <row r="164" ht="15.75" customHeight="1">
      <c r="A164" s="186" t="s">
        <v>585</v>
      </c>
      <c r="B164" s="146"/>
      <c r="C164" s="186" t="s">
        <v>424</v>
      </c>
    </row>
    <row r="165" ht="15.75" customHeight="1">
      <c r="A165" s="186" t="s">
        <v>586</v>
      </c>
      <c r="B165" s="146"/>
      <c r="C165" s="186" t="s">
        <v>424</v>
      </c>
    </row>
    <row r="166" ht="15.75" customHeight="1">
      <c r="A166" s="186" t="s">
        <v>587</v>
      </c>
      <c r="B166" s="146"/>
      <c r="C166" s="186" t="s">
        <v>424</v>
      </c>
    </row>
    <row r="167" ht="15.75" customHeight="1">
      <c r="A167" s="186" t="s">
        <v>588</v>
      </c>
      <c r="B167" s="146"/>
      <c r="C167" s="186" t="s">
        <v>424</v>
      </c>
    </row>
    <row r="168" ht="15.75" customHeight="1">
      <c r="A168" s="186" t="s">
        <v>589</v>
      </c>
      <c r="B168" s="146"/>
      <c r="C168" s="186" t="s">
        <v>424</v>
      </c>
    </row>
    <row r="169" ht="15.75" customHeight="1">
      <c r="A169" s="186" t="s">
        <v>590</v>
      </c>
      <c r="B169" s="146"/>
      <c r="C169" s="186" t="s">
        <v>424</v>
      </c>
    </row>
    <row r="170" ht="15.75" customHeight="1">
      <c r="A170" s="186" t="s">
        <v>591</v>
      </c>
      <c r="B170" s="146"/>
      <c r="C170" s="186" t="s">
        <v>424</v>
      </c>
    </row>
    <row r="171" ht="15.75" customHeight="1">
      <c r="A171" s="186" t="s">
        <v>592</v>
      </c>
      <c r="B171" s="146"/>
      <c r="C171" s="186" t="s">
        <v>424</v>
      </c>
    </row>
    <row r="172" ht="15.75" customHeight="1">
      <c r="A172" s="186" t="s">
        <v>593</v>
      </c>
      <c r="B172" s="146"/>
      <c r="C172" s="186" t="s">
        <v>424</v>
      </c>
    </row>
    <row r="173" ht="15.75" customHeight="1">
      <c r="A173" s="186" t="s">
        <v>594</v>
      </c>
      <c r="B173" s="146"/>
      <c r="C173" s="186" t="s">
        <v>424</v>
      </c>
    </row>
    <row r="174" ht="15.75" customHeight="1">
      <c r="A174" s="186" t="s">
        <v>595</v>
      </c>
      <c r="B174" s="146"/>
      <c r="C174" s="186" t="s">
        <v>424</v>
      </c>
    </row>
    <row r="175" ht="15.75" customHeight="1">
      <c r="A175" s="186" t="s">
        <v>596</v>
      </c>
      <c r="B175" s="146"/>
      <c r="C175" s="186" t="s">
        <v>424</v>
      </c>
    </row>
    <row r="176" ht="15.75" customHeight="1">
      <c r="A176" s="186" t="s">
        <v>597</v>
      </c>
      <c r="B176" s="146"/>
      <c r="C176" s="186" t="s">
        <v>424</v>
      </c>
    </row>
    <row r="177" ht="15.75" customHeight="1">
      <c r="A177" s="186" t="s">
        <v>598</v>
      </c>
      <c r="B177" s="146"/>
      <c r="C177" s="186" t="s">
        <v>424</v>
      </c>
    </row>
    <row r="178" ht="15.75" customHeight="1">
      <c r="A178" s="186" t="s">
        <v>599</v>
      </c>
      <c r="B178" s="146"/>
      <c r="C178" s="186" t="s">
        <v>424</v>
      </c>
    </row>
    <row r="179" ht="15.75" customHeight="1">
      <c r="A179" s="186" t="s">
        <v>600</v>
      </c>
      <c r="B179" s="146"/>
      <c r="C179" s="186" t="s">
        <v>424</v>
      </c>
    </row>
    <row r="180" ht="15.75" customHeight="1">
      <c r="A180" s="186" t="s">
        <v>601</v>
      </c>
      <c r="B180" s="146"/>
      <c r="C180" s="186" t="s">
        <v>424</v>
      </c>
    </row>
    <row r="181" ht="15.75" customHeight="1">
      <c r="A181" s="186" t="s">
        <v>602</v>
      </c>
      <c r="B181" s="146"/>
      <c r="C181" s="186" t="s">
        <v>424</v>
      </c>
    </row>
    <row r="182" ht="15.75" customHeight="1">
      <c r="A182" s="186" t="s">
        <v>603</v>
      </c>
      <c r="B182" s="146"/>
      <c r="C182" s="186" t="s">
        <v>424</v>
      </c>
    </row>
    <row r="183" ht="15.75" customHeight="1">
      <c r="A183" s="186" t="s">
        <v>604</v>
      </c>
      <c r="B183" s="146"/>
      <c r="C183" s="186" t="s">
        <v>424</v>
      </c>
    </row>
    <row r="184" ht="15.75" customHeight="1">
      <c r="A184" s="186" t="s">
        <v>605</v>
      </c>
      <c r="B184" s="146"/>
      <c r="C184" s="186" t="s">
        <v>424</v>
      </c>
    </row>
    <row r="185" ht="15.75" customHeight="1">
      <c r="A185" s="186" t="s">
        <v>606</v>
      </c>
      <c r="B185" s="146"/>
      <c r="C185" s="186" t="s">
        <v>424</v>
      </c>
    </row>
    <row r="186" ht="15.75" customHeight="1">
      <c r="A186" s="186" t="s">
        <v>607</v>
      </c>
      <c r="B186" s="146"/>
      <c r="C186" s="186" t="s">
        <v>424</v>
      </c>
    </row>
    <row r="187" ht="15.75" customHeight="1">
      <c r="A187" s="186" t="s">
        <v>608</v>
      </c>
      <c r="B187" s="146"/>
      <c r="C187" s="186" t="s">
        <v>424</v>
      </c>
    </row>
    <row r="188" ht="15.75" customHeight="1">
      <c r="A188" s="186" t="s">
        <v>609</v>
      </c>
      <c r="B188" s="146"/>
      <c r="C188" s="186" t="s">
        <v>424</v>
      </c>
    </row>
    <row r="189" ht="15.75" customHeight="1">
      <c r="A189" s="186" t="s">
        <v>610</v>
      </c>
      <c r="B189" s="146"/>
      <c r="C189" s="186" t="s">
        <v>424</v>
      </c>
    </row>
    <row r="190" ht="15.75" customHeight="1">
      <c r="A190" s="186" t="s">
        <v>611</v>
      </c>
      <c r="B190" s="146"/>
      <c r="C190" s="186" t="s">
        <v>424</v>
      </c>
    </row>
    <row r="191" ht="15.75" customHeight="1">
      <c r="A191" s="186" t="s">
        <v>612</v>
      </c>
      <c r="B191" s="146"/>
      <c r="C191" s="186" t="s">
        <v>424</v>
      </c>
    </row>
    <row r="192" ht="15.75" customHeight="1">
      <c r="A192" s="186" t="s">
        <v>613</v>
      </c>
      <c r="B192" s="146"/>
      <c r="C192" s="186" t="s">
        <v>424</v>
      </c>
    </row>
    <row r="193" ht="15.75" customHeight="1">
      <c r="A193" s="186" t="s">
        <v>614</v>
      </c>
      <c r="B193" s="146"/>
      <c r="C193" s="186" t="s">
        <v>424</v>
      </c>
    </row>
    <row r="194" ht="15.75" customHeight="1">
      <c r="A194" s="186" t="s">
        <v>615</v>
      </c>
      <c r="B194" s="146"/>
      <c r="C194" s="186" t="s">
        <v>424</v>
      </c>
    </row>
    <row r="195" ht="15.75" customHeight="1">
      <c r="A195" s="186" t="s">
        <v>616</v>
      </c>
      <c r="B195" s="146"/>
      <c r="C195" s="186" t="s">
        <v>424</v>
      </c>
    </row>
    <row r="196" ht="15.75" customHeight="1">
      <c r="A196" s="186" t="s">
        <v>617</v>
      </c>
      <c r="B196" s="146"/>
      <c r="C196" s="186" t="s">
        <v>424</v>
      </c>
    </row>
    <row r="197" ht="15.75" customHeight="1">
      <c r="A197" s="186" t="s">
        <v>618</v>
      </c>
      <c r="B197" s="146"/>
      <c r="C197" s="186" t="s">
        <v>424</v>
      </c>
    </row>
    <row r="198" ht="15.75" customHeight="1">
      <c r="A198" s="186" t="s">
        <v>619</v>
      </c>
      <c r="B198" s="146"/>
      <c r="C198" s="186" t="s">
        <v>424</v>
      </c>
    </row>
    <row r="199" ht="15.75" customHeight="1">
      <c r="A199" s="186" t="s">
        <v>620</v>
      </c>
      <c r="B199" s="146"/>
      <c r="C199" s="186" t="s">
        <v>424</v>
      </c>
    </row>
    <row r="200" ht="15.75" customHeight="1">
      <c r="A200" s="186" t="s">
        <v>621</v>
      </c>
      <c r="B200" s="146"/>
      <c r="C200" s="186" t="s">
        <v>424</v>
      </c>
    </row>
    <row r="201" ht="15.75" customHeight="1">
      <c r="A201" s="186" t="s">
        <v>622</v>
      </c>
      <c r="B201" s="146"/>
      <c r="C201" s="186" t="s">
        <v>424</v>
      </c>
    </row>
    <row r="202" ht="15.75" customHeight="1">
      <c r="A202" s="186" t="s">
        <v>623</v>
      </c>
      <c r="B202" s="146"/>
      <c r="C202" s="186" t="s">
        <v>424</v>
      </c>
    </row>
    <row r="203" ht="15.75" customHeight="1">
      <c r="A203" s="188" t="s">
        <v>624</v>
      </c>
      <c r="B203" s="146"/>
      <c r="C203" s="186" t="s">
        <v>424</v>
      </c>
    </row>
    <row r="204" ht="15.75" customHeight="1">
      <c r="A204" s="186" t="s">
        <v>625</v>
      </c>
      <c r="B204" s="146"/>
      <c r="C204" s="186" t="s">
        <v>424</v>
      </c>
    </row>
    <row r="205" ht="15.75" customHeight="1">
      <c r="A205" s="186" t="s">
        <v>626</v>
      </c>
      <c r="B205" s="146"/>
      <c r="C205" s="186" t="s">
        <v>424</v>
      </c>
    </row>
    <row r="206" ht="15.75" customHeight="1">
      <c r="A206" s="186" t="s">
        <v>627</v>
      </c>
      <c r="B206" s="146"/>
      <c r="C206" s="186" t="s">
        <v>424</v>
      </c>
    </row>
    <row r="207" ht="15.75" customHeight="1">
      <c r="A207" s="186" t="s">
        <v>628</v>
      </c>
      <c r="B207" s="146"/>
      <c r="C207" s="186" t="s">
        <v>424</v>
      </c>
    </row>
    <row r="208" ht="15.75" customHeight="1">
      <c r="A208" s="186" t="s">
        <v>629</v>
      </c>
      <c r="B208" s="146"/>
      <c r="C208" s="186" t="s">
        <v>424</v>
      </c>
    </row>
    <row r="209" ht="15.75" customHeight="1">
      <c r="A209" s="186" t="s">
        <v>630</v>
      </c>
      <c r="B209" s="146"/>
      <c r="C209" s="186" t="s">
        <v>424</v>
      </c>
    </row>
    <row r="210" ht="15.75" customHeight="1">
      <c r="A210" s="186" t="s">
        <v>631</v>
      </c>
      <c r="B210" s="146"/>
      <c r="C210" s="186" t="s">
        <v>424</v>
      </c>
    </row>
    <row r="211" ht="15.75" customHeight="1">
      <c r="A211" s="186" t="s">
        <v>632</v>
      </c>
      <c r="B211" s="146"/>
      <c r="C211" s="186" t="s">
        <v>424</v>
      </c>
    </row>
    <row r="212" ht="15.75" customHeight="1">
      <c r="A212" s="186" t="s">
        <v>633</v>
      </c>
      <c r="B212" s="146"/>
      <c r="C212" s="186" t="s">
        <v>424</v>
      </c>
    </row>
    <row r="213" ht="15.75" customHeight="1">
      <c r="A213" s="186" t="s">
        <v>634</v>
      </c>
      <c r="B213" s="146"/>
      <c r="C213" s="186" t="s">
        <v>424</v>
      </c>
    </row>
    <row r="214" ht="15.75" customHeight="1">
      <c r="A214" s="186" t="s">
        <v>635</v>
      </c>
      <c r="B214" s="146"/>
      <c r="C214" s="186" t="s">
        <v>424</v>
      </c>
    </row>
    <row r="215" ht="15.75" customHeight="1">
      <c r="A215" s="186" t="s">
        <v>636</v>
      </c>
      <c r="B215" s="146"/>
      <c r="C215" s="186" t="s">
        <v>424</v>
      </c>
    </row>
    <row r="216" ht="15.75" customHeight="1">
      <c r="A216" s="186" t="s">
        <v>637</v>
      </c>
      <c r="B216" s="146"/>
      <c r="C216" s="186" t="s">
        <v>424</v>
      </c>
    </row>
    <row r="217" ht="15.75" customHeight="1">
      <c r="A217" s="186" t="s">
        <v>638</v>
      </c>
      <c r="B217" s="146"/>
      <c r="C217" s="186" t="s">
        <v>424</v>
      </c>
    </row>
    <row r="218" ht="15.75" customHeight="1">
      <c r="A218" s="186" t="s">
        <v>639</v>
      </c>
      <c r="B218" s="146"/>
      <c r="C218" s="186" t="s">
        <v>424</v>
      </c>
    </row>
    <row r="219" ht="15.75" customHeight="1">
      <c r="A219" s="186" t="s">
        <v>640</v>
      </c>
      <c r="B219" s="146"/>
      <c r="C219" s="186" t="s">
        <v>424</v>
      </c>
    </row>
    <row r="220" ht="15.75" customHeight="1">
      <c r="A220" s="186" t="s">
        <v>641</v>
      </c>
      <c r="B220" s="146"/>
      <c r="C220" s="186" t="s">
        <v>424</v>
      </c>
    </row>
    <row r="221" ht="15.75" customHeight="1">
      <c r="A221" s="186" t="s">
        <v>642</v>
      </c>
      <c r="B221" s="146"/>
      <c r="C221" s="186" t="s">
        <v>424</v>
      </c>
    </row>
    <row r="222" ht="15.75" customHeight="1">
      <c r="A222" s="186" t="s">
        <v>643</v>
      </c>
      <c r="B222" s="146"/>
      <c r="C222" s="186" t="s">
        <v>424</v>
      </c>
    </row>
    <row r="223" ht="15.75" customHeight="1">
      <c r="A223" s="186" t="s">
        <v>644</v>
      </c>
      <c r="B223" s="146"/>
      <c r="C223" s="186" t="s">
        <v>424</v>
      </c>
    </row>
    <row r="224" ht="15.75" customHeight="1">
      <c r="A224" s="186" t="s">
        <v>645</v>
      </c>
      <c r="B224" s="146"/>
      <c r="C224" s="186" t="s">
        <v>424</v>
      </c>
    </row>
    <row r="225" ht="15.75" customHeight="1">
      <c r="A225" s="186" t="s">
        <v>646</v>
      </c>
      <c r="B225" s="146"/>
      <c r="C225" s="186" t="s">
        <v>424</v>
      </c>
    </row>
    <row r="226" ht="15.75" customHeight="1">
      <c r="A226" s="186" t="s">
        <v>647</v>
      </c>
      <c r="B226" s="146"/>
      <c r="C226" s="186" t="s">
        <v>424</v>
      </c>
    </row>
    <row r="227" ht="15.75" customHeight="1">
      <c r="A227" s="186" t="s">
        <v>648</v>
      </c>
      <c r="B227" s="146"/>
      <c r="C227" s="186" t="s">
        <v>424</v>
      </c>
    </row>
    <row r="228" ht="15.75" customHeight="1">
      <c r="A228" s="186" t="s">
        <v>649</v>
      </c>
      <c r="B228" s="146"/>
      <c r="C228" s="186" t="s">
        <v>424</v>
      </c>
    </row>
    <row r="229" ht="15.75" customHeight="1">
      <c r="A229" s="186" t="s">
        <v>650</v>
      </c>
      <c r="B229" s="146"/>
      <c r="C229" s="186" t="s">
        <v>424</v>
      </c>
    </row>
    <row r="230" ht="15.75" customHeight="1">
      <c r="A230" s="186" t="s">
        <v>651</v>
      </c>
      <c r="B230" s="146"/>
      <c r="C230" s="186" t="s">
        <v>424</v>
      </c>
    </row>
    <row r="231" ht="15.75" customHeight="1">
      <c r="A231" s="186" t="s">
        <v>652</v>
      </c>
      <c r="B231" s="146"/>
      <c r="C231" s="186" t="s">
        <v>424</v>
      </c>
    </row>
    <row r="232" ht="15.75" customHeight="1">
      <c r="A232" s="186" t="s">
        <v>653</v>
      </c>
      <c r="B232" s="146"/>
      <c r="C232" s="186" t="s">
        <v>424</v>
      </c>
    </row>
    <row r="233" ht="15.75" customHeight="1">
      <c r="A233" s="186" t="s">
        <v>654</v>
      </c>
      <c r="B233" s="146"/>
      <c r="C233" s="186" t="s">
        <v>424</v>
      </c>
    </row>
    <row r="234" ht="15.75" customHeight="1">
      <c r="A234" s="186" t="s">
        <v>655</v>
      </c>
      <c r="B234" s="146"/>
      <c r="C234" s="186" t="s">
        <v>424</v>
      </c>
    </row>
    <row r="235" ht="15.75" customHeight="1">
      <c r="A235" s="186" t="s">
        <v>656</v>
      </c>
      <c r="B235" s="146"/>
      <c r="C235" s="186" t="s">
        <v>424</v>
      </c>
    </row>
    <row r="236" ht="15.75" customHeight="1">
      <c r="A236" s="186" t="s">
        <v>657</v>
      </c>
      <c r="B236" s="146"/>
      <c r="C236" s="186" t="s">
        <v>424</v>
      </c>
    </row>
    <row r="237" ht="15.75" customHeight="1">
      <c r="A237" s="186" t="s">
        <v>658</v>
      </c>
      <c r="B237" s="146"/>
      <c r="C237" s="186" t="s">
        <v>424</v>
      </c>
    </row>
    <row r="238" ht="15.75" customHeight="1">
      <c r="A238" s="186" t="s">
        <v>659</v>
      </c>
      <c r="B238" s="146"/>
      <c r="C238" s="186" t="s">
        <v>424</v>
      </c>
    </row>
    <row r="239" ht="15.75" customHeight="1">
      <c r="A239" s="186" t="s">
        <v>660</v>
      </c>
      <c r="B239" s="146"/>
      <c r="C239" s="186" t="s">
        <v>424</v>
      </c>
    </row>
    <row r="240" ht="15.75" customHeight="1">
      <c r="A240" s="186" t="s">
        <v>661</v>
      </c>
      <c r="B240" s="146"/>
      <c r="C240" s="186" t="s">
        <v>424</v>
      </c>
    </row>
    <row r="241" ht="15.75" customHeight="1">
      <c r="A241" s="186" t="s">
        <v>662</v>
      </c>
      <c r="B241" s="146"/>
      <c r="C241" s="186" t="s">
        <v>424</v>
      </c>
    </row>
    <row r="242" ht="15.75" customHeight="1">
      <c r="A242" s="186" t="s">
        <v>663</v>
      </c>
      <c r="B242" s="146"/>
      <c r="C242" s="186" t="s">
        <v>424</v>
      </c>
    </row>
    <row r="243" ht="15.75" customHeight="1">
      <c r="A243" s="186" t="s">
        <v>664</v>
      </c>
      <c r="B243" s="146"/>
      <c r="C243" s="186" t="s">
        <v>424</v>
      </c>
    </row>
    <row r="244" ht="15.75" customHeight="1">
      <c r="A244" s="186" t="s">
        <v>665</v>
      </c>
      <c r="B244" s="146"/>
      <c r="C244" s="186" t="s">
        <v>424</v>
      </c>
    </row>
    <row r="245" ht="15.75" customHeight="1">
      <c r="A245" s="186" t="s">
        <v>666</v>
      </c>
      <c r="B245" s="146"/>
      <c r="C245" s="186" t="s">
        <v>424</v>
      </c>
    </row>
    <row r="246" ht="15.75" customHeight="1">
      <c r="A246" s="186" t="s">
        <v>667</v>
      </c>
      <c r="B246" s="146"/>
      <c r="C246" s="186" t="s">
        <v>424</v>
      </c>
    </row>
    <row r="247" ht="15.75" customHeight="1">
      <c r="A247" s="186" t="s">
        <v>668</v>
      </c>
      <c r="B247" s="146"/>
      <c r="C247" s="186" t="s">
        <v>424</v>
      </c>
    </row>
    <row r="248" ht="15.75" customHeight="1">
      <c r="A248" s="186" t="s">
        <v>669</v>
      </c>
      <c r="B248" s="146"/>
      <c r="C248" s="186" t="s">
        <v>424</v>
      </c>
    </row>
    <row r="249" ht="15.75" customHeight="1">
      <c r="A249" s="186" t="s">
        <v>670</v>
      </c>
      <c r="B249" s="146"/>
      <c r="C249" s="186" t="s">
        <v>424</v>
      </c>
    </row>
    <row r="250" ht="15.75" customHeight="1">
      <c r="A250" s="186" t="s">
        <v>671</v>
      </c>
      <c r="B250" s="146"/>
      <c r="C250" s="186" t="s">
        <v>424</v>
      </c>
    </row>
    <row r="251" ht="15.75" customHeight="1">
      <c r="A251" s="186" t="s">
        <v>672</v>
      </c>
      <c r="B251" s="146"/>
      <c r="C251" s="186" t="s">
        <v>424</v>
      </c>
    </row>
    <row r="252" ht="15.75" customHeight="1">
      <c r="A252" s="186" t="s">
        <v>673</v>
      </c>
      <c r="B252" s="146"/>
      <c r="C252" s="186" t="s">
        <v>424</v>
      </c>
    </row>
    <row r="253" ht="15.75" customHeight="1">
      <c r="A253" s="186" t="s">
        <v>674</v>
      </c>
      <c r="B253" s="146"/>
      <c r="C253" s="186" t="s">
        <v>424</v>
      </c>
    </row>
    <row r="254" ht="15.75" customHeight="1">
      <c r="A254" s="186" t="s">
        <v>675</v>
      </c>
      <c r="B254" s="146"/>
      <c r="C254" s="186" t="s">
        <v>424</v>
      </c>
    </row>
    <row r="255" ht="15.75" customHeight="1">
      <c r="A255" s="186" t="s">
        <v>676</v>
      </c>
      <c r="B255" s="146"/>
      <c r="C255" s="186" t="s">
        <v>424</v>
      </c>
    </row>
    <row r="256" ht="15.75" customHeight="1">
      <c r="A256" s="186" t="s">
        <v>677</v>
      </c>
      <c r="B256" s="146"/>
      <c r="C256" s="186" t="s">
        <v>424</v>
      </c>
    </row>
    <row r="257" ht="15.75" customHeight="1">
      <c r="A257" s="186" t="s">
        <v>678</v>
      </c>
      <c r="B257" s="146"/>
      <c r="C257" s="186" t="s">
        <v>424</v>
      </c>
    </row>
    <row r="258" ht="15.75" customHeight="1">
      <c r="A258" s="186" t="s">
        <v>679</v>
      </c>
      <c r="B258" s="146"/>
      <c r="C258" s="186" t="s">
        <v>424</v>
      </c>
    </row>
    <row r="259" ht="15.75" customHeight="1">
      <c r="A259" s="186" t="s">
        <v>680</v>
      </c>
      <c r="B259" s="146"/>
      <c r="C259" s="186" t="s">
        <v>424</v>
      </c>
    </row>
    <row r="260" ht="15.75" customHeight="1">
      <c r="A260" s="186" t="s">
        <v>681</v>
      </c>
      <c r="B260" s="146"/>
      <c r="C260" s="186" t="s">
        <v>424</v>
      </c>
    </row>
    <row r="261" ht="15.75" customHeight="1">
      <c r="A261" s="186" t="s">
        <v>682</v>
      </c>
      <c r="B261" s="146"/>
      <c r="C261" s="186" t="s">
        <v>424</v>
      </c>
    </row>
    <row r="262" ht="15.75" customHeight="1">
      <c r="A262" s="186" t="s">
        <v>683</v>
      </c>
      <c r="B262" s="146"/>
      <c r="C262" s="186" t="s">
        <v>424</v>
      </c>
    </row>
    <row r="263" ht="15.75" customHeight="1">
      <c r="A263" s="186" t="s">
        <v>684</v>
      </c>
      <c r="B263" s="146"/>
      <c r="C263" s="186" t="s">
        <v>424</v>
      </c>
    </row>
    <row r="264" ht="15.75" customHeight="1">
      <c r="A264" s="186" t="s">
        <v>685</v>
      </c>
      <c r="B264" s="146"/>
      <c r="C264" s="186" t="s">
        <v>424</v>
      </c>
    </row>
    <row r="265" ht="15.75" customHeight="1">
      <c r="A265" s="186" t="s">
        <v>686</v>
      </c>
      <c r="B265" s="146"/>
      <c r="C265" s="186" t="s">
        <v>424</v>
      </c>
    </row>
    <row r="266" ht="15.75" customHeight="1">
      <c r="A266" s="186" t="s">
        <v>687</v>
      </c>
      <c r="B266" s="146"/>
      <c r="C266" s="186" t="s">
        <v>424</v>
      </c>
    </row>
    <row r="267" ht="15.75" customHeight="1">
      <c r="A267" s="186" t="s">
        <v>688</v>
      </c>
      <c r="B267" s="146"/>
      <c r="C267" s="186" t="s">
        <v>424</v>
      </c>
    </row>
    <row r="268" ht="15.75" customHeight="1">
      <c r="A268" s="186" t="s">
        <v>689</v>
      </c>
      <c r="B268" s="146"/>
      <c r="C268" s="186" t="s">
        <v>424</v>
      </c>
    </row>
    <row r="269" ht="15.75" customHeight="1">
      <c r="A269" s="186" t="s">
        <v>690</v>
      </c>
      <c r="B269" s="146"/>
      <c r="C269" s="186" t="s">
        <v>424</v>
      </c>
    </row>
    <row r="270" ht="15.75" customHeight="1">
      <c r="A270" s="186" t="s">
        <v>691</v>
      </c>
      <c r="B270" s="146"/>
      <c r="C270" s="186" t="s">
        <v>424</v>
      </c>
    </row>
    <row r="271" ht="15.75" customHeight="1">
      <c r="A271" s="186" t="s">
        <v>692</v>
      </c>
      <c r="B271" s="146"/>
      <c r="C271" s="186" t="s">
        <v>424</v>
      </c>
    </row>
    <row r="272" ht="15.75" customHeight="1">
      <c r="A272" s="186" t="s">
        <v>693</v>
      </c>
      <c r="B272" s="146"/>
      <c r="C272" s="186" t="s">
        <v>424</v>
      </c>
    </row>
    <row r="273" ht="15.75" customHeight="1">
      <c r="A273" s="186" t="s">
        <v>694</v>
      </c>
      <c r="B273" s="146"/>
      <c r="C273" s="186" t="s">
        <v>424</v>
      </c>
    </row>
    <row r="274" ht="15.75" customHeight="1">
      <c r="A274" s="186" t="s">
        <v>695</v>
      </c>
      <c r="B274" s="146"/>
      <c r="C274" s="186" t="s">
        <v>424</v>
      </c>
    </row>
    <row r="275" ht="15.75" customHeight="1">
      <c r="A275" s="186" t="s">
        <v>696</v>
      </c>
      <c r="B275" s="146"/>
      <c r="C275" s="186" t="s">
        <v>424</v>
      </c>
    </row>
    <row r="276" ht="15.75" customHeight="1">
      <c r="A276" s="186" t="s">
        <v>697</v>
      </c>
      <c r="B276" s="146"/>
      <c r="C276" s="186" t="s">
        <v>424</v>
      </c>
    </row>
    <row r="277" ht="15.75" customHeight="1">
      <c r="A277" s="186" t="s">
        <v>698</v>
      </c>
      <c r="B277" s="146"/>
      <c r="C277" s="186" t="s">
        <v>424</v>
      </c>
    </row>
    <row r="278" ht="15.75" customHeight="1">
      <c r="A278" s="186" t="s">
        <v>699</v>
      </c>
      <c r="B278" s="146"/>
      <c r="C278" s="186" t="s">
        <v>424</v>
      </c>
    </row>
    <row r="279" ht="15.75" customHeight="1">
      <c r="A279" s="186" t="s">
        <v>700</v>
      </c>
      <c r="B279" s="146"/>
      <c r="C279" s="186" t="s">
        <v>424</v>
      </c>
    </row>
    <row r="280" ht="15.75" customHeight="1">
      <c r="A280" s="186" t="s">
        <v>701</v>
      </c>
      <c r="B280" s="146"/>
      <c r="C280" s="186" t="s">
        <v>424</v>
      </c>
    </row>
    <row r="281" ht="15.75" customHeight="1">
      <c r="A281" s="186" t="s">
        <v>702</v>
      </c>
      <c r="B281" s="146"/>
      <c r="C281" s="186" t="s">
        <v>424</v>
      </c>
    </row>
    <row r="282" ht="15.75" customHeight="1">
      <c r="A282" s="186" t="s">
        <v>703</v>
      </c>
      <c r="B282" s="146"/>
      <c r="C282" s="186" t="s">
        <v>424</v>
      </c>
    </row>
    <row r="283" ht="15.75" customHeight="1">
      <c r="A283" s="186" t="s">
        <v>704</v>
      </c>
      <c r="B283" s="146"/>
      <c r="C283" s="186" t="s">
        <v>424</v>
      </c>
    </row>
    <row r="284" ht="15.75" customHeight="1">
      <c r="A284" s="186" t="s">
        <v>705</v>
      </c>
      <c r="B284" s="146"/>
      <c r="C284" s="186" t="s">
        <v>424</v>
      </c>
    </row>
    <row r="285" ht="15.75" customHeight="1">
      <c r="A285" s="186" t="s">
        <v>706</v>
      </c>
      <c r="B285" s="146"/>
      <c r="C285" s="186" t="s">
        <v>424</v>
      </c>
    </row>
    <row r="286" ht="15.75" customHeight="1">
      <c r="A286" s="186" t="s">
        <v>707</v>
      </c>
      <c r="B286" s="146"/>
      <c r="C286" s="186" t="s">
        <v>424</v>
      </c>
    </row>
    <row r="287" ht="15.75" customHeight="1">
      <c r="A287" s="186" t="s">
        <v>708</v>
      </c>
      <c r="B287" s="146"/>
      <c r="C287" s="186" t="s">
        <v>424</v>
      </c>
    </row>
    <row r="288" ht="15.75" customHeight="1">
      <c r="A288" s="186" t="s">
        <v>709</v>
      </c>
      <c r="B288" s="146"/>
      <c r="C288" s="186" t="s">
        <v>424</v>
      </c>
    </row>
    <row r="289" ht="15.75" customHeight="1">
      <c r="A289" s="186" t="s">
        <v>710</v>
      </c>
      <c r="B289" s="146"/>
      <c r="C289" s="186" t="s">
        <v>424</v>
      </c>
    </row>
    <row r="290" ht="15.75" customHeight="1">
      <c r="A290" s="186" t="s">
        <v>711</v>
      </c>
      <c r="B290" s="146"/>
      <c r="C290" s="186" t="s">
        <v>424</v>
      </c>
    </row>
    <row r="291" ht="15.75" customHeight="1">
      <c r="A291" s="186" t="s">
        <v>712</v>
      </c>
      <c r="B291" s="146"/>
      <c r="C291" s="186" t="s">
        <v>424</v>
      </c>
    </row>
    <row r="292" ht="15.75" customHeight="1">
      <c r="A292" s="186" t="s">
        <v>713</v>
      </c>
      <c r="B292" s="146"/>
      <c r="C292" s="186" t="s">
        <v>424</v>
      </c>
    </row>
    <row r="293" ht="15.75" customHeight="1">
      <c r="A293" s="186" t="s">
        <v>714</v>
      </c>
      <c r="B293" s="146"/>
      <c r="C293" s="186" t="s">
        <v>424</v>
      </c>
    </row>
    <row r="294" ht="15.75" customHeight="1">
      <c r="A294" s="186" t="s">
        <v>715</v>
      </c>
      <c r="B294" s="146"/>
      <c r="C294" s="186" t="s">
        <v>424</v>
      </c>
    </row>
    <row r="295" ht="15.75" customHeight="1">
      <c r="A295" s="186" t="s">
        <v>716</v>
      </c>
      <c r="B295" s="146"/>
      <c r="C295" s="186" t="s">
        <v>424</v>
      </c>
    </row>
    <row r="296" ht="15.75" customHeight="1">
      <c r="A296" s="186" t="s">
        <v>717</v>
      </c>
      <c r="B296" s="146"/>
      <c r="C296" s="186" t="s">
        <v>424</v>
      </c>
    </row>
    <row r="297" ht="15.75" customHeight="1">
      <c r="A297" s="186" t="s">
        <v>718</v>
      </c>
      <c r="B297" s="146"/>
      <c r="C297" s="186" t="s">
        <v>424</v>
      </c>
    </row>
    <row r="298" ht="15.75" customHeight="1">
      <c r="A298" s="186" t="s">
        <v>719</v>
      </c>
      <c r="B298" s="146"/>
      <c r="C298" s="186" t="s">
        <v>424</v>
      </c>
    </row>
    <row r="299" ht="15.75" customHeight="1">
      <c r="A299" s="186" t="s">
        <v>720</v>
      </c>
      <c r="B299" s="146"/>
      <c r="C299" s="186" t="s">
        <v>424</v>
      </c>
    </row>
    <row r="300" ht="15.75" customHeight="1">
      <c r="A300" s="186" t="s">
        <v>721</v>
      </c>
      <c r="B300" s="146"/>
      <c r="C300" s="186" t="s">
        <v>424</v>
      </c>
    </row>
    <row r="301" ht="15.75" customHeight="1">
      <c r="A301" s="189" t="s">
        <v>722</v>
      </c>
      <c r="B301" s="190"/>
      <c r="C301" s="38"/>
    </row>
    <row r="302" ht="15.75" customHeight="1">
      <c r="A302" s="146"/>
      <c r="B302" s="146"/>
      <c r="C302" s="186"/>
    </row>
    <row r="303" ht="15.75" customHeight="1">
      <c r="A303" s="146"/>
      <c r="B303" s="146"/>
      <c r="C303" s="186"/>
    </row>
    <row r="304" ht="15.75" customHeight="1">
      <c r="A304" s="146"/>
      <c r="B304" s="146"/>
      <c r="C304" s="186"/>
    </row>
    <row r="305" ht="15.75" customHeight="1">
      <c r="A305" s="146"/>
      <c r="B305" s="146"/>
      <c r="C305" s="186"/>
    </row>
    <row r="306" ht="15.75" customHeight="1">
      <c r="A306" s="146"/>
      <c r="B306" s="146"/>
      <c r="C306" s="186"/>
    </row>
    <row r="307" ht="15.75" customHeight="1">
      <c r="A307" s="146"/>
      <c r="B307" s="146"/>
      <c r="C307" s="186"/>
    </row>
    <row r="308" ht="15.75" customHeight="1">
      <c r="A308" s="146"/>
      <c r="B308" s="146"/>
      <c r="C308" s="186"/>
    </row>
    <row r="309" ht="15.75" customHeight="1">
      <c r="A309" s="146"/>
      <c r="B309" s="146"/>
      <c r="C309" s="186"/>
    </row>
    <row r="310" ht="15.75" customHeight="1">
      <c r="A310" s="146"/>
      <c r="B310" s="146"/>
      <c r="C310" s="186"/>
    </row>
    <row r="311" ht="15.75" customHeight="1">
      <c r="A311" s="146"/>
      <c r="B311" s="146"/>
      <c r="C311" s="186"/>
    </row>
    <row r="312" ht="15.75" customHeight="1">
      <c r="A312" s="146"/>
      <c r="B312" s="146"/>
      <c r="C312" s="186"/>
    </row>
    <row r="313" ht="15.75" customHeight="1">
      <c r="A313" s="146"/>
      <c r="B313" s="146"/>
      <c r="C313" s="186"/>
    </row>
    <row r="314" ht="15.75" customHeight="1">
      <c r="A314" s="146"/>
      <c r="B314" s="146"/>
      <c r="C314" s="186"/>
    </row>
    <row r="315" ht="15.75" customHeight="1">
      <c r="A315" s="146"/>
      <c r="B315" s="146"/>
      <c r="C315" s="186"/>
    </row>
    <row r="316" ht="15.75" customHeight="1">
      <c r="A316" s="146"/>
      <c r="B316" s="146"/>
      <c r="C316" s="186"/>
    </row>
    <row r="317" ht="15.75" customHeight="1">
      <c r="A317" s="146"/>
      <c r="B317" s="146"/>
      <c r="C317" s="186"/>
    </row>
    <row r="318" ht="15.75" customHeight="1">
      <c r="A318" s="146"/>
      <c r="B318" s="146"/>
      <c r="C318" s="186"/>
    </row>
    <row r="319" ht="15.75" customHeight="1">
      <c r="A319" s="146"/>
      <c r="B319" s="146"/>
      <c r="C319" s="186"/>
    </row>
    <row r="320" ht="15.75" customHeight="1">
      <c r="A320" s="146"/>
      <c r="B320" s="146"/>
      <c r="C320" s="186"/>
    </row>
    <row r="321" ht="15.75" customHeight="1">
      <c r="A321" s="146"/>
      <c r="B321" s="146"/>
      <c r="C321" s="186"/>
    </row>
    <row r="322" ht="15.75" customHeight="1">
      <c r="A322" s="146"/>
      <c r="B322" s="146"/>
      <c r="C322" s="186"/>
    </row>
    <row r="323" ht="15.75" customHeight="1">
      <c r="A323" s="146"/>
      <c r="B323" s="146"/>
      <c r="C323" s="186"/>
    </row>
    <row r="324" ht="15.75" customHeight="1">
      <c r="A324" s="146"/>
      <c r="B324" s="146"/>
      <c r="C324" s="186"/>
    </row>
    <row r="325" ht="15.75" customHeight="1">
      <c r="A325" s="146"/>
      <c r="B325" s="146"/>
      <c r="C325" s="186"/>
    </row>
    <row r="326" ht="15.75" customHeight="1">
      <c r="A326" s="146"/>
      <c r="B326" s="146"/>
      <c r="C326" s="186"/>
    </row>
    <row r="327" ht="15.75" customHeight="1">
      <c r="A327" s="146"/>
      <c r="B327" s="146"/>
      <c r="C327" s="186"/>
    </row>
    <row r="328" ht="15.75" customHeight="1">
      <c r="A328" s="146"/>
      <c r="B328" s="146"/>
      <c r="C328" s="186"/>
    </row>
    <row r="329" ht="15.75" customHeight="1">
      <c r="A329" s="146"/>
      <c r="B329" s="146"/>
      <c r="C329" s="186"/>
    </row>
    <row r="330" ht="15.75" customHeight="1">
      <c r="A330" s="146"/>
      <c r="B330" s="146"/>
      <c r="C330" s="186"/>
    </row>
    <row r="331" ht="15.75" customHeight="1">
      <c r="A331" s="146"/>
      <c r="B331" s="146"/>
      <c r="C331" s="186"/>
    </row>
    <row r="332" ht="15.75" customHeight="1">
      <c r="A332" s="146"/>
      <c r="B332" s="146"/>
      <c r="C332" s="186"/>
    </row>
    <row r="333" ht="15.75" customHeight="1">
      <c r="A333" s="146"/>
      <c r="B333" s="146"/>
      <c r="C333" s="186"/>
    </row>
    <row r="334" ht="15.75" customHeight="1">
      <c r="A334" s="146"/>
      <c r="B334" s="146"/>
      <c r="C334" s="186"/>
    </row>
    <row r="335" ht="15.75" customHeight="1">
      <c r="A335" s="146"/>
      <c r="B335" s="146"/>
      <c r="C335" s="186"/>
    </row>
    <row r="336" ht="15.75" customHeight="1">
      <c r="A336" s="146"/>
      <c r="B336" s="146"/>
      <c r="C336" s="186"/>
    </row>
    <row r="337" ht="15.75" customHeight="1">
      <c r="A337" s="146"/>
      <c r="B337" s="146"/>
      <c r="C337" s="186"/>
    </row>
    <row r="338" ht="15.75" customHeight="1">
      <c r="A338" s="146"/>
      <c r="B338" s="146"/>
      <c r="C338" s="186"/>
    </row>
    <row r="339" ht="15.75" customHeight="1">
      <c r="A339" s="146"/>
      <c r="B339" s="146"/>
      <c r="C339" s="186"/>
    </row>
    <row r="340" ht="15.75" customHeight="1">
      <c r="A340" s="146"/>
      <c r="B340" s="146"/>
      <c r="C340" s="186"/>
    </row>
    <row r="341" ht="15.75" customHeight="1">
      <c r="A341" s="146"/>
      <c r="B341" s="146"/>
      <c r="C341" s="186"/>
    </row>
    <row r="342" ht="15.75" customHeight="1">
      <c r="A342" s="146"/>
      <c r="B342" s="146"/>
      <c r="C342" s="186"/>
    </row>
    <row r="343" ht="15.75" customHeight="1">
      <c r="A343" s="146"/>
      <c r="B343" s="146"/>
      <c r="C343" s="186"/>
    </row>
    <row r="344" ht="15.75" customHeight="1">
      <c r="A344" s="146"/>
      <c r="B344" s="146"/>
      <c r="C344" s="186"/>
    </row>
    <row r="345" ht="15.75" customHeight="1">
      <c r="A345" s="146"/>
      <c r="B345" s="146"/>
      <c r="C345" s="186"/>
    </row>
    <row r="346" ht="15.75" customHeight="1">
      <c r="A346" s="146"/>
      <c r="B346" s="146"/>
      <c r="C346" s="186"/>
    </row>
    <row r="347" ht="15.75" customHeight="1">
      <c r="A347" s="146"/>
      <c r="B347" s="146"/>
      <c r="C347" s="186"/>
    </row>
    <row r="348" ht="15.75" customHeight="1">
      <c r="A348" s="146"/>
      <c r="B348" s="146"/>
      <c r="C348" s="186"/>
    </row>
    <row r="349" ht="15.75" customHeight="1">
      <c r="A349" s="146"/>
      <c r="B349" s="146"/>
      <c r="C349" s="186"/>
    </row>
    <row r="350" ht="15.75" customHeight="1">
      <c r="A350" s="146"/>
      <c r="B350" s="146"/>
      <c r="C350" s="186"/>
    </row>
    <row r="351" ht="15.75" customHeight="1">
      <c r="A351" s="146"/>
      <c r="B351" s="146"/>
      <c r="C351" s="186"/>
    </row>
    <row r="352" ht="15.75" customHeight="1">
      <c r="A352" s="146"/>
      <c r="B352" s="146"/>
      <c r="C352" s="186"/>
    </row>
    <row r="353" ht="15.75" customHeight="1">
      <c r="A353" s="146"/>
      <c r="B353" s="146"/>
      <c r="C353" s="186"/>
    </row>
    <row r="354" ht="15.75" customHeight="1">
      <c r="A354" s="146"/>
      <c r="B354" s="146"/>
      <c r="C354" s="186"/>
    </row>
    <row r="355" ht="15.75" customHeight="1">
      <c r="A355" s="146"/>
      <c r="B355" s="146"/>
      <c r="C355" s="186"/>
    </row>
    <row r="356" ht="15.75" customHeight="1">
      <c r="A356" s="146"/>
      <c r="B356" s="146"/>
      <c r="C356" s="186"/>
    </row>
    <row r="357" ht="15.75" customHeight="1">
      <c r="A357" s="146"/>
      <c r="B357" s="146"/>
      <c r="C357" s="186"/>
    </row>
    <row r="358" ht="15.75" customHeight="1">
      <c r="A358" s="146"/>
      <c r="B358" s="146"/>
      <c r="C358" s="186"/>
    </row>
    <row r="359" ht="15.75" customHeight="1">
      <c r="A359" s="146"/>
      <c r="B359" s="146"/>
      <c r="C359" s="186"/>
    </row>
    <row r="360" ht="15.75" customHeight="1">
      <c r="A360" s="146"/>
      <c r="B360" s="146"/>
      <c r="C360" s="186"/>
    </row>
    <row r="361" ht="15.75" customHeight="1">
      <c r="A361" s="146"/>
      <c r="B361" s="146"/>
      <c r="C361" s="186"/>
    </row>
    <row r="362" ht="15.75" customHeight="1">
      <c r="A362" s="146"/>
      <c r="B362" s="146"/>
      <c r="C362" s="186"/>
    </row>
    <row r="363" ht="15.75" customHeight="1">
      <c r="A363" s="146"/>
      <c r="B363" s="146"/>
      <c r="C363" s="186"/>
    </row>
    <row r="364" ht="15.75" customHeight="1">
      <c r="A364" s="146"/>
      <c r="B364" s="146"/>
      <c r="C364" s="186"/>
    </row>
    <row r="365" ht="15.75" customHeight="1">
      <c r="A365" s="146"/>
      <c r="B365" s="146"/>
      <c r="C365" s="186"/>
    </row>
    <row r="366" ht="15.75" customHeight="1">
      <c r="A366" s="146"/>
      <c r="B366" s="146"/>
      <c r="C366" s="186"/>
    </row>
    <row r="367" ht="15.75" customHeight="1">
      <c r="A367" s="146"/>
      <c r="B367" s="146"/>
      <c r="C367" s="186"/>
    </row>
    <row r="368" ht="15.75" customHeight="1">
      <c r="A368" s="146"/>
      <c r="B368" s="146"/>
      <c r="C368" s="186"/>
    </row>
    <row r="369" ht="15.75" customHeight="1">
      <c r="A369" s="146"/>
      <c r="B369" s="146"/>
      <c r="C369" s="186"/>
    </row>
    <row r="370" ht="15.75" customHeight="1">
      <c r="A370" s="146"/>
      <c r="B370" s="146"/>
      <c r="C370" s="186"/>
    </row>
    <row r="371" ht="15.75" customHeight="1">
      <c r="A371" s="146"/>
      <c r="B371" s="146"/>
      <c r="C371" s="186"/>
    </row>
    <row r="372" ht="15.75" customHeight="1">
      <c r="A372" s="146"/>
      <c r="B372" s="146"/>
      <c r="C372" s="186"/>
    </row>
    <row r="373" ht="15.75" customHeight="1">
      <c r="A373" s="146"/>
      <c r="B373" s="146"/>
      <c r="C373" s="186"/>
    </row>
    <row r="374" ht="15.75" customHeight="1">
      <c r="A374" s="146"/>
      <c r="B374" s="146"/>
      <c r="C374" s="186"/>
    </row>
    <row r="375" ht="15.75" customHeight="1">
      <c r="A375" s="146"/>
      <c r="B375" s="146"/>
      <c r="C375" s="186"/>
    </row>
    <row r="376" ht="15.75" customHeight="1">
      <c r="A376" s="146"/>
      <c r="B376" s="146"/>
      <c r="C376" s="186"/>
    </row>
    <row r="377" ht="15.75" customHeight="1">
      <c r="A377" s="146"/>
      <c r="B377" s="146"/>
      <c r="C377" s="186"/>
    </row>
    <row r="378" ht="15.75" customHeight="1">
      <c r="A378" s="146"/>
      <c r="B378" s="146"/>
      <c r="C378" s="186"/>
    </row>
    <row r="379" ht="15.75" customHeight="1">
      <c r="A379" s="146"/>
      <c r="B379" s="146"/>
      <c r="C379" s="186"/>
    </row>
    <row r="380" ht="15.75" customHeight="1">
      <c r="A380" s="146"/>
      <c r="B380" s="146"/>
      <c r="C380" s="186"/>
    </row>
    <row r="381" ht="15.75" customHeight="1">
      <c r="A381" s="146"/>
      <c r="B381" s="146"/>
      <c r="C381" s="186"/>
    </row>
    <row r="382" ht="15.75" customHeight="1">
      <c r="A382" s="146"/>
      <c r="B382" s="146"/>
      <c r="C382" s="186"/>
    </row>
    <row r="383" ht="15.75" customHeight="1">
      <c r="A383" s="146"/>
      <c r="B383" s="146"/>
      <c r="C383" s="186"/>
    </row>
    <row r="384" ht="15.75" customHeight="1">
      <c r="A384" s="146"/>
      <c r="B384" s="146"/>
      <c r="C384" s="186"/>
    </row>
    <row r="385" ht="15.75" customHeight="1">
      <c r="A385" s="146"/>
      <c r="B385" s="146"/>
      <c r="C385" s="186"/>
    </row>
    <row r="386" ht="15.75" customHeight="1">
      <c r="A386" s="146"/>
      <c r="B386" s="146"/>
      <c r="C386" s="186"/>
    </row>
    <row r="387" ht="15.75" customHeight="1">
      <c r="A387" s="146"/>
      <c r="B387" s="146"/>
      <c r="C387" s="186"/>
    </row>
    <row r="388" ht="15.75" customHeight="1">
      <c r="A388" s="146"/>
      <c r="B388" s="146"/>
      <c r="C388" s="186"/>
    </row>
    <row r="389" ht="15.75" customHeight="1">
      <c r="A389" s="146"/>
      <c r="B389" s="146"/>
      <c r="C389" s="186"/>
    </row>
    <row r="390" ht="15.75" customHeight="1">
      <c r="A390" s="146"/>
      <c r="B390" s="146"/>
      <c r="C390" s="186"/>
    </row>
    <row r="391" ht="15.75" customHeight="1">
      <c r="A391" s="146"/>
      <c r="B391" s="146"/>
      <c r="C391" s="186"/>
    </row>
    <row r="392" ht="15.75" customHeight="1">
      <c r="A392" s="146"/>
      <c r="B392" s="146"/>
      <c r="C392" s="186"/>
    </row>
    <row r="393" ht="15.75" customHeight="1">
      <c r="A393" s="146"/>
      <c r="B393" s="146"/>
      <c r="C393" s="186"/>
    </row>
    <row r="394" ht="15.75" customHeight="1">
      <c r="A394" s="146"/>
      <c r="B394" s="146"/>
      <c r="C394" s="186"/>
    </row>
    <row r="395" ht="15.75" customHeight="1">
      <c r="A395" s="146"/>
      <c r="B395" s="146"/>
      <c r="C395" s="186"/>
    </row>
    <row r="396" ht="15.75" customHeight="1">
      <c r="A396" s="146"/>
      <c r="B396" s="146"/>
      <c r="C396" s="186"/>
    </row>
    <row r="397" ht="15.75" customHeight="1">
      <c r="A397" s="146"/>
      <c r="B397" s="146"/>
      <c r="C397" s="186"/>
    </row>
    <row r="398" ht="15.75" customHeight="1">
      <c r="A398" s="146"/>
      <c r="B398" s="146"/>
      <c r="C398" s="186"/>
    </row>
    <row r="399" ht="15.75" customHeight="1">
      <c r="A399" s="146"/>
      <c r="B399" s="146"/>
      <c r="C399" s="186"/>
    </row>
    <row r="400" ht="15.75" customHeight="1">
      <c r="A400" s="146"/>
      <c r="B400" s="146"/>
      <c r="C400" s="186"/>
    </row>
    <row r="401" ht="15.75" customHeight="1">
      <c r="A401" s="146"/>
      <c r="B401" s="146"/>
      <c r="C401" s="186"/>
    </row>
    <row r="402" ht="15.75" customHeight="1">
      <c r="A402" s="146"/>
      <c r="B402" s="146"/>
      <c r="C402" s="186"/>
    </row>
    <row r="403" ht="15.75" customHeight="1">
      <c r="A403" s="146"/>
      <c r="B403" s="146"/>
      <c r="C403" s="186"/>
    </row>
    <row r="404" ht="15.75" customHeight="1">
      <c r="A404" s="146"/>
      <c r="B404" s="146"/>
      <c r="C404" s="186"/>
    </row>
    <row r="405" ht="15.75" customHeight="1">
      <c r="A405" s="146"/>
      <c r="B405" s="146"/>
      <c r="C405" s="186"/>
    </row>
    <row r="406" ht="15.75" customHeight="1">
      <c r="A406" s="146"/>
      <c r="B406" s="146"/>
      <c r="C406" s="186"/>
    </row>
    <row r="407" ht="15.75" customHeight="1">
      <c r="A407" s="146"/>
      <c r="B407" s="146"/>
      <c r="C407" s="186"/>
    </row>
    <row r="408" ht="15.75" customHeight="1">
      <c r="A408" s="146"/>
      <c r="B408" s="146"/>
      <c r="C408" s="186"/>
    </row>
    <row r="409" ht="15.75" customHeight="1">
      <c r="A409" s="146"/>
      <c r="B409" s="146"/>
      <c r="C409" s="186"/>
    </row>
    <row r="410" ht="15.75" customHeight="1">
      <c r="A410" s="146"/>
      <c r="B410" s="146"/>
      <c r="C410" s="186"/>
    </row>
    <row r="411" ht="15.75" customHeight="1">
      <c r="A411" s="146"/>
      <c r="B411" s="146"/>
      <c r="C411" s="186"/>
    </row>
    <row r="412" ht="15.75" customHeight="1">
      <c r="A412" s="146"/>
      <c r="B412" s="146"/>
      <c r="C412" s="186"/>
    </row>
    <row r="413" ht="15.75" customHeight="1">
      <c r="A413" s="146"/>
      <c r="B413" s="146"/>
      <c r="C413" s="186"/>
    </row>
    <row r="414" ht="15.75" customHeight="1">
      <c r="A414" s="146"/>
      <c r="B414" s="146"/>
      <c r="C414" s="186"/>
    </row>
    <row r="415" ht="15.75" customHeight="1">
      <c r="A415" s="146"/>
      <c r="B415" s="146"/>
      <c r="C415" s="186"/>
    </row>
    <row r="416" ht="15.75" customHeight="1">
      <c r="A416" s="146"/>
      <c r="B416" s="146"/>
      <c r="C416" s="186"/>
    </row>
    <row r="417" ht="15.75" customHeight="1">
      <c r="A417" s="146"/>
      <c r="B417" s="146"/>
      <c r="C417" s="186"/>
    </row>
    <row r="418" ht="15.75" customHeight="1">
      <c r="A418" s="146"/>
      <c r="B418" s="146"/>
      <c r="C418" s="186"/>
    </row>
    <row r="419" ht="15.75" customHeight="1">
      <c r="A419" s="146"/>
      <c r="B419" s="146"/>
      <c r="C419" s="186"/>
    </row>
    <row r="420" ht="15.75" customHeight="1">
      <c r="A420" s="146"/>
      <c r="B420" s="146"/>
      <c r="C420" s="186"/>
    </row>
    <row r="421" ht="15.75" customHeight="1">
      <c r="A421" s="146"/>
      <c r="B421" s="146"/>
      <c r="C421" s="186"/>
    </row>
    <row r="422" ht="15.75" customHeight="1">
      <c r="A422" s="146"/>
      <c r="B422" s="146"/>
      <c r="C422" s="186"/>
    </row>
    <row r="423" ht="15.75" customHeight="1">
      <c r="A423" s="146"/>
      <c r="B423" s="146"/>
      <c r="C423" s="186"/>
    </row>
    <row r="424" ht="15.75" customHeight="1">
      <c r="A424" s="146"/>
      <c r="B424" s="146"/>
      <c r="C424" s="186"/>
    </row>
    <row r="425" ht="15.75" customHeight="1">
      <c r="A425" s="146"/>
      <c r="B425" s="146"/>
      <c r="C425" s="186"/>
    </row>
    <row r="426" ht="15.75" customHeight="1">
      <c r="A426" s="146"/>
      <c r="B426" s="146"/>
      <c r="C426" s="186"/>
    </row>
    <row r="427" ht="15.75" customHeight="1">
      <c r="A427" s="146"/>
      <c r="B427" s="146"/>
      <c r="C427" s="186"/>
    </row>
    <row r="428" ht="15.75" customHeight="1">
      <c r="A428" s="146"/>
      <c r="B428" s="146"/>
      <c r="C428" s="186"/>
    </row>
    <row r="429" ht="15.75" customHeight="1">
      <c r="A429" s="146"/>
      <c r="B429" s="146"/>
      <c r="C429" s="186"/>
    </row>
    <row r="430" ht="15.75" customHeight="1">
      <c r="A430" s="146"/>
      <c r="B430" s="146"/>
      <c r="C430" s="186"/>
    </row>
    <row r="431" ht="15.75" customHeight="1">
      <c r="A431" s="146"/>
      <c r="B431" s="146"/>
      <c r="C431" s="186"/>
    </row>
    <row r="432" ht="15.75" customHeight="1">
      <c r="A432" s="146"/>
      <c r="B432" s="146"/>
      <c r="C432" s="186"/>
    </row>
    <row r="433" ht="15.75" customHeight="1">
      <c r="A433" s="146"/>
      <c r="B433" s="146"/>
      <c r="C433" s="186"/>
    </row>
    <row r="434" ht="15.75" customHeight="1">
      <c r="A434" s="146"/>
      <c r="B434" s="146"/>
      <c r="C434" s="186"/>
    </row>
    <row r="435" ht="15.75" customHeight="1">
      <c r="A435" s="146"/>
      <c r="B435" s="146"/>
      <c r="C435" s="186"/>
    </row>
    <row r="436" ht="15.75" customHeight="1">
      <c r="A436" s="146"/>
      <c r="B436" s="146"/>
      <c r="C436" s="186"/>
    </row>
    <row r="437" ht="15.75" customHeight="1">
      <c r="A437" s="146"/>
      <c r="B437" s="146"/>
      <c r="C437" s="186"/>
    </row>
    <row r="438" ht="15.75" customHeight="1">
      <c r="A438" s="146"/>
      <c r="B438" s="146"/>
      <c r="C438" s="186"/>
    </row>
    <row r="439" ht="15.75" customHeight="1">
      <c r="A439" s="146"/>
      <c r="B439" s="146"/>
      <c r="C439" s="186"/>
    </row>
    <row r="440" ht="15.75" customHeight="1">
      <c r="A440" s="146"/>
      <c r="B440" s="146"/>
      <c r="C440" s="186"/>
    </row>
    <row r="441" ht="15.75" customHeight="1">
      <c r="A441" s="146"/>
      <c r="B441" s="146"/>
      <c r="C441" s="186"/>
    </row>
    <row r="442" ht="15.75" customHeight="1">
      <c r="A442" s="146"/>
      <c r="B442" s="146"/>
      <c r="C442" s="186"/>
    </row>
    <row r="443" ht="15.75" customHeight="1">
      <c r="A443" s="146"/>
      <c r="B443" s="146"/>
      <c r="C443" s="186"/>
    </row>
    <row r="444" ht="15.75" customHeight="1">
      <c r="A444" s="146"/>
      <c r="B444" s="146"/>
      <c r="C444" s="186"/>
    </row>
    <row r="445" ht="15.75" customHeight="1">
      <c r="A445" s="146"/>
      <c r="B445" s="146"/>
      <c r="C445" s="186"/>
    </row>
    <row r="446" ht="15.75" customHeight="1">
      <c r="A446" s="146"/>
      <c r="B446" s="146"/>
      <c r="C446" s="186"/>
    </row>
    <row r="447" ht="15.75" customHeight="1">
      <c r="A447" s="146"/>
      <c r="B447" s="146"/>
      <c r="C447" s="186"/>
    </row>
    <row r="448" ht="15.75" customHeight="1">
      <c r="A448" s="146"/>
      <c r="B448" s="146"/>
      <c r="C448" s="186"/>
    </row>
    <row r="449" ht="15.75" customHeight="1">
      <c r="A449" s="146"/>
      <c r="B449" s="146"/>
      <c r="C449" s="186"/>
    </row>
    <row r="450" ht="15.75" customHeight="1">
      <c r="A450" s="146"/>
      <c r="B450" s="146"/>
      <c r="C450" s="186"/>
    </row>
    <row r="451" ht="15.75" customHeight="1">
      <c r="A451" s="146"/>
      <c r="B451" s="146"/>
      <c r="C451" s="186"/>
    </row>
    <row r="452" ht="15.75" customHeight="1">
      <c r="A452" s="146"/>
      <c r="B452" s="146"/>
      <c r="C452" s="186"/>
    </row>
    <row r="453" ht="15.75" customHeight="1">
      <c r="A453" s="146"/>
      <c r="B453" s="146"/>
      <c r="C453" s="186"/>
    </row>
    <row r="454" ht="15.75" customHeight="1">
      <c r="A454" s="146"/>
      <c r="B454" s="146"/>
      <c r="C454" s="186"/>
    </row>
    <row r="455" ht="15.75" customHeight="1">
      <c r="A455" s="146"/>
      <c r="B455" s="146"/>
      <c r="C455" s="186"/>
    </row>
    <row r="456" ht="15.75" customHeight="1">
      <c r="A456" s="146"/>
      <c r="B456" s="146"/>
      <c r="C456" s="186"/>
    </row>
    <row r="457" ht="15.75" customHeight="1">
      <c r="A457" s="146"/>
      <c r="B457" s="146"/>
      <c r="C457" s="186"/>
    </row>
    <row r="458" ht="15.75" customHeight="1">
      <c r="A458" s="146"/>
      <c r="B458" s="146"/>
      <c r="C458" s="186"/>
    </row>
    <row r="459" ht="15.75" customHeight="1">
      <c r="A459" s="146"/>
      <c r="B459" s="146"/>
      <c r="C459" s="186"/>
    </row>
    <row r="460" ht="15.75" customHeight="1">
      <c r="A460" s="146"/>
      <c r="B460" s="146"/>
      <c r="C460" s="186"/>
    </row>
    <row r="461" ht="15.75" customHeight="1">
      <c r="A461" s="146"/>
      <c r="B461" s="146"/>
      <c r="C461" s="186"/>
    </row>
    <row r="462" ht="15.75" customHeight="1">
      <c r="A462" s="146"/>
      <c r="B462" s="146"/>
      <c r="C462" s="186"/>
    </row>
    <row r="463" ht="15.75" customHeight="1">
      <c r="A463" s="146"/>
      <c r="B463" s="146"/>
      <c r="C463" s="186"/>
    </row>
    <row r="464" ht="15.75" customHeight="1">
      <c r="A464" s="146"/>
      <c r="B464" s="146"/>
      <c r="C464" s="186"/>
    </row>
    <row r="465" ht="15.75" customHeight="1">
      <c r="A465" s="146"/>
      <c r="B465" s="146"/>
      <c r="C465" s="186"/>
    </row>
    <row r="466" ht="15.75" customHeight="1">
      <c r="A466" s="146"/>
      <c r="B466" s="146"/>
      <c r="C466" s="186"/>
    </row>
    <row r="467" ht="15.75" customHeight="1">
      <c r="A467" s="146"/>
      <c r="B467" s="146"/>
      <c r="C467" s="186"/>
    </row>
    <row r="468" ht="15.75" customHeight="1">
      <c r="A468" s="146"/>
      <c r="B468" s="146"/>
      <c r="C468" s="186"/>
    </row>
    <row r="469" ht="15.75" customHeight="1">
      <c r="A469" s="146"/>
      <c r="B469" s="146"/>
      <c r="C469" s="186"/>
    </row>
    <row r="470" ht="15.75" customHeight="1">
      <c r="A470" s="146"/>
      <c r="B470" s="146"/>
      <c r="C470" s="186"/>
    </row>
    <row r="471" ht="15.75" customHeight="1">
      <c r="A471" s="146"/>
      <c r="B471" s="146"/>
      <c r="C471" s="186"/>
    </row>
    <row r="472" ht="15.75" customHeight="1">
      <c r="A472" s="146"/>
      <c r="B472" s="146"/>
      <c r="C472" s="186"/>
    </row>
    <row r="473" ht="15.75" customHeight="1">
      <c r="A473" s="146"/>
      <c r="B473" s="146"/>
      <c r="C473" s="186"/>
    </row>
    <row r="474" ht="15.75" customHeight="1">
      <c r="A474" s="146"/>
      <c r="B474" s="146"/>
      <c r="C474" s="186"/>
    </row>
    <row r="475" ht="15.75" customHeight="1">
      <c r="A475" s="146"/>
      <c r="B475" s="146"/>
      <c r="C475" s="186"/>
    </row>
    <row r="476" ht="15.75" customHeight="1">
      <c r="A476" s="146"/>
      <c r="B476" s="146"/>
      <c r="C476" s="186"/>
    </row>
    <row r="477" ht="15.75" customHeight="1">
      <c r="A477" s="146"/>
      <c r="B477" s="146"/>
      <c r="C477" s="186"/>
    </row>
    <row r="478" ht="15.75" customHeight="1">
      <c r="A478" s="146"/>
      <c r="B478" s="146"/>
      <c r="C478" s="186"/>
    </row>
    <row r="479" ht="15.75" customHeight="1">
      <c r="A479" s="146"/>
      <c r="B479" s="146"/>
      <c r="C479" s="186"/>
    </row>
    <row r="480" ht="15.75" customHeight="1">
      <c r="A480" s="146"/>
      <c r="B480" s="146"/>
      <c r="C480" s="186"/>
    </row>
    <row r="481" ht="15.75" customHeight="1">
      <c r="A481" s="146"/>
      <c r="B481" s="146"/>
      <c r="C481" s="186"/>
    </row>
    <row r="482" ht="15.75" customHeight="1">
      <c r="A482" s="146"/>
      <c r="B482" s="146"/>
      <c r="C482" s="186"/>
    </row>
    <row r="483" ht="15.75" customHeight="1">
      <c r="A483" s="146"/>
      <c r="B483" s="146"/>
      <c r="C483" s="186"/>
    </row>
    <row r="484" ht="15.75" customHeight="1">
      <c r="A484" s="146"/>
      <c r="B484" s="146"/>
      <c r="C484" s="186"/>
    </row>
    <row r="485" ht="15.75" customHeight="1">
      <c r="A485" s="146"/>
      <c r="B485" s="146"/>
      <c r="C485" s="186"/>
    </row>
    <row r="486" ht="15.75" customHeight="1">
      <c r="A486" s="146"/>
      <c r="B486" s="146"/>
      <c r="C486" s="186"/>
    </row>
    <row r="487" ht="15.75" customHeight="1">
      <c r="A487" s="146"/>
      <c r="B487" s="146"/>
      <c r="C487" s="186"/>
    </row>
    <row r="488" ht="15.75" customHeight="1">
      <c r="A488" s="146"/>
      <c r="B488" s="146"/>
      <c r="C488" s="186"/>
    </row>
    <row r="489" ht="15.75" customHeight="1">
      <c r="A489" s="146"/>
      <c r="B489" s="146"/>
      <c r="C489" s="186"/>
    </row>
    <row r="490" ht="15.75" customHeight="1">
      <c r="A490" s="146"/>
      <c r="B490" s="146"/>
      <c r="C490" s="186"/>
    </row>
    <row r="491" ht="15.75" customHeight="1">
      <c r="A491" s="146"/>
      <c r="B491" s="146"/>
      <c r="C491" s="186"/>
    </row>
    <row r="492" ht="15.75" customHeight="1">
      <c r="A492" s="146"/>
      <c r="B492" s="146"/>
      <c r="C492" s="186"/>
    </row>
    <row r="493" ht="15.75" customHeight="1">
      <c r="A493" s="146"/>
      <c r="B493" s="146"/>
      <c r="C493" s="186"/>
    </row>
    <row r="494" ht="15.75" customHeight="1">
      <c r="A494" s="146"/>
      <c r="B494" s="146"/>
      <c r="C494" s="186"/>
    </row>
    <row r="495" ht="15.75" customHeight="1">
      <c r="A495" s="146"/>
      <c r="B495" s="146"/>
      <c r="C495" s="186"/>
    </row>
    <row r="496" ht="15.75" customHeight="1">
      <c r="A496" s="146"/>
      <c r="B496" s="146"/>
      <c r="C496" s="186"/>
    </row>
    <row r="497" ht="15.75" customHeight="1">
      <c r="A497" s="146"/>
      <c r="B497" s="146"/>
      <c r="C497" s="186"/>
    </row>
    <row r="498" ht="15.75" customHeight="1">
      <c r="A498" s="146"/>
      <c r="B498" s="146"/>
      <c r="C498" s="186"/>
    </row>
    <row r="499" ht="15.75" customHeight="1">
      <c r="A499" s="146"/>
      <c r="B499" s="146"/>
      <c r="C499" s="186"/>
    </row>
    <row r="500" ht="15.75" customHeight="1">
      <c r="A500" s="146"/>
      <c r="B500" s="146"/>
      <c r="C500" s="186"/>
    </row>
    <row r="501" ht="15.75" customHeight="1">
      <c r="A501" s="146"/>
      <c r="B501" s="146"/>
      <c r="C501" s="186"/>
    </row>
    <row r="502" ht="15.75" customHeight="1">
      <c r="A502" s="146"/>
      <c r="B502" s="146"/>
      <c r="C502" s="186"/>
    </row>
    <row r="503" ht="15.75" customHeight="1">
      <c r="A503" s="146"/>
      <c r="B503" s="146"/>
      <c r="C503" s="186"/>
    </row>
    <row r="504" ht="15.75" customHeight="1">
      <c r="A504" s="146"/>
      <c r="B504" s="146"/>
      <c r="C504" s="186"/>
    </row>
    <row r="505" ht="15.75" customHeight="1">
      <c r="A505" s="146"/>
      <c r="B505" s="146"/>
      <c r="C505" s="186"/>
    </row>
    <row r="506" ht="15.75" customHeight="1">
      <c r="A506" s="146"/>
      <c r="B506" s="146"/>
      <c r="C506" s="186"/>
    </row>
    <row r="507" ht="15.75" customHeight="1">
      <c r="A507" s="146"/>
      <c r="B507" s="146"/>
      <c r="C507" s="186"/>
    </row>
    <row r="508" ht="15.75" customHeight="1">
      <c r="A508" s="146"/>
      <c r="B508" s="146"/>
      <c r="C508" s="186"/>
    </row>
    <row r="509" ht="15.75" customHeight="1">
      <c r="A509" s="146"/>
      <c r="B509" s="146"/>
      <c r="C509" s="186"/>
    </row>
    <row r="510" ht="15.75" customHeight="1">
      <c r="A510" s="146"/>
      <c r="B510" s="146"/>
      <c r="C510" s="186"/>
    </row>
    <row r="511" ht="15.75" customHeight="1">
      <c r="A511" s="146"/>
      <c r="B511" s="146"/>
      <c r="C511" s="186"/>
    </row>
    <row r="512" ht="15.75" customHeight="1">
      <c r="A512" s="146"/>
      <c r="B512" s="146"/>
      <c r="C512" s="186"/>
    </row>
    <row r="513" ht="15.75" customHeight="1">
      <c r="A513" s="146"/>
      <c r="B513" s="146"/>
      <c r="C513" s="186"/>
    </row>
    <row r="514" ht="15.75" customHeight="1">
      <c r="A514" s="146"/>
      <c r="B514" s="146"/>
      <c r="C514" s="186"/>
    </row>
    <row r="515" ht="15.75" customHeight="1">
      <c r="A515" s="146"/>
      <c r="B515" s="146"/>
      <c r="C515" s="186"/>
    </row>
    <row r="516" ht="15.75" customHeight="1">
      <c r="A516" s="146"/>
      <c r="B516" s="146"/>
      <c r="C516" s="186"/>
    </row>
    <row r="517" ht="15.75" customHeight="1">
      <c r="A517" s="146"/>
      <c r="B517" s="146"/>
      <c r="C517" s="186"/>
    </row>
    <row r="518" ht="15.75" customHeight="1">
      <c r="A518" s="146"/>
      <c r="B518" s="146"/>
      <c r="C518" s="186"/>
    </row>
    <row r="519" ht="15.75" customHeight="1">
      <c r="A519" s="146"/>
      <c r="B519" s="146"/>
      <c r="C519" s="186"/>
    </row>
    <row r="520" ht="15.75" customHeight="1">
      <c r="A520" s="146"/>
      <c r="B520" s="146"/>
      <c r="C520" s="186"/>
    </row>
    <row r="521" ht="15.75" customHeight="1">
      <c r="A521" s="146"/>
      <c r="B521" s="146"/>
      <c r="C521" s="186"/>
    </row>
    <row r="522" ht="15.75" customHeight="1">
      <c r="A522" s="146"/>
      <c r="B522" s="146"/>
      <c r="C522" s="186"/>
    </row>
    <row r="523" ht="15.75" customHeight="1">
      <c r="A523" s="146"/>
      <c r="B523" s="146"/>
      <c r="C523" s="186"/>
    </row>
    <row r="524" ht="15.75" customHeight="1">
      <c r="A524" s="146"/>
      <c r="B524" s="146"/>
      <c r="C524" s="186"/>
    </row>
    <row r="525" ht="15.75" customHeight="1">
      <c r="A525" s="146"/>
      <c r="B525" s="146"/>
      <c r="C525" s="186"/>
    </row>
    <row r="526" ht="15.75" customHeight="1">
      <c r="A526" s="146"/>
      <c r="B526" s="146"/>
      <c r="C526" s="186"/>
    </row>
    <row r="527" ht="15.75" customHeight="1">
      <c r="A527" s="146"/>
      <c r="B527" s="146"/>
      <c r="C527" s="186"/>
    </row>
    <row r="528" ht="15.75" customHeight="1">
      <c r="A528" s="146"/>
      <c r="B528" s="146"/>
      <c r="C528" s="186"/>
    </row>
    <row r="529" ht="15.75" customHeight="1">
      <c r="A529" s="146"/>
      <c r="B529" s="146"/>
      <c r="C529" s="186"/>
    </row>
    <row r="530" ht="15.75" customHeight="1">
      <c r="A530" s="146"/>
      <c r="B530" s="146"/>
      <c r="C530" s="186"/>
    </row>
    <row r="531" ht="15.75" customHeight="1">
      <c r="A531" s="146"/>
      <c r="B531" s="146"/>
      <c r="C531" s="186"/>
    </row>
    <row r="532" ht="15.75" customHeight="1">
      <c r="A532" s="146"/>
      <c r="B532" s="146"/>
      <c r="C532" s="186"/>
    </row>
    <row r="533" ht="15.75" customHeight="1">
      <c r="A533" s="146"/>
      <c r="B533" s="146"/>
      <c r="C533" s="186"/>
    </row>
    <row r="534" ht="15.75" customHeight="1">
      <c r="A534" s="146"/>
      <c r="B534" s="146"/>
      <c r="C534" s="186"/>
    </row>
    <row r="535" ht="15.75" customHeight="1">
      <c r="A535" s="146"/>
      <c r="B535" s="146"/>
      <c r="C535" s="186"/>
    </row>
    <row r="536" ht="15.75" customHeight="1">
      <c r="A536" s="146"/>
      <c r="B536" s="146"/>
      <c r="C536" s="186"/>
    </row>
    <row r="537" ht="15.75" customHeight="1">
      <c r="A537" s="146"/>
      <c r="B537" s="146"/>
      <c r="C537" s="186"/>
    </row>
    <row r="538" ht="15.75" customHeight="1">
      <c r="A538" s="146"/>
      <c r="B538" s="146"/>
      <c r="C538" s="186"/>
    </row>
    <row r="539" ht="15.75" customHeight="1">
      <c r="A539" s="146"/>
      <c r="B539" s="146"/>
      <c r="C539" s="186"/>
    </row>
    <row r="540" ht="15.75" customHeight="1">
      <c r="A540" s="146"/>
      <c r="B540" s="146"/>
      <c r="C540" s="186"/>
    </row>
    <row r="541" ht="15.75" customHeight="1">
      <c r="A541" s="146"/>
      <c r="B541" s="146"/>
      <c r="C541" s="186"/>
    </row>
    <row r="542" ht="15.75" customHeight="1">
      <c r="A542" s="146"/>
      <c r="B542" s="146"/>
      <c r="C542" s="186"/>
    </row>
    <row r="543" ht="15.75" customHeight="1">
      <c r="A543" s="146"/>
      <c r="B543" s="146"/>
      <c r="C543" s="186"/>
    </row>
    <row r="544" ht="15.75" customHeight="1">
      <c r="A544" s="146"/>
      <c r="B544" s="146"/>
      <c r="C544" s="186"/>
    </row>
    <row r="545" ht="15.75" customHeight="1">
      <c r="A545" s="146"/>
      <c r="B545" s="146"/>
      <c r="C545" s="186"/>
    </row>
    <row r="546" ht="15.75" customHeight="1">
      <c r="A546" s="146"/>
      <c r="B546" s="146"/>
      <c r="C546" s="186"/>
    </row>
    <row r="547" ht="15.75" customHeight="1">
      <c r="A547" s="146"/>
      <c r="B547" s="146"/>
      <c r="C547" s="186"/>
    </row>
    <row r="548" ht="15.75" customHeight="1">
      <c r="A548" s="146"/>
      <c r="B548" s="146"/>
      <c r="C548" s="186"/>
    </row>
    <row r="549" ht="15.75" customHeight="1">
      <c r="A549" s="146"/>
      <c r="B549" s="146"/>
      <c r="C549" s="186"/>
    </row>
    <row r="550" ht="15.75" customHeight="1">
      <c r="A550" s="146"/>
      <c r="B550" s="146"/>
      <c r="C550" s="186"/>
    </row>
    <row r="551" ht="15.75" customHeight="1">
      <c r="A551" s="146"/>
      <c r="B551" s="146"/>
      <c r="C551" s="186"/>
    </row>
    <row r="552" ht="15.75" customHeight="1">
      <c r="A552" s="146"/>
      <c r="B552" s="146"/>
      <c r="C552" s="186"/>
    </row>
    <row r="553" ht="15.75" customHeight="1">
      <c r="A553" s="146"/>
      <c r="B553" s="146"/>
      <c r="C553" s="186"/>
    </row>
    <row r="554" ht="15.75" customHeight="1">
      <c r="A554" s="146"/>
      <c r="B554" s="146"/>
      <c r="C554" s="186"/>
    </row>
    <row r="555" ht="15.75" customHeight="1">
      <c r="A555" s="146"/>
      <c r="B555" s="146"/>
      <c r="C555" s="186"/>
    </row>
    <row r="556" ht="15.75" customHeight="1">
      <c r="A556" s="146"/>
      <c r="B556" s="146"/>
      <c r="C556" s="186"/>
    </row>
    <row r="557" ht="15.75" customHeight="1">
      <c r="A557" s="146"/>
      <c r="B557" s="146"/>
      <c r="C557" s="186"/>
    </row>
    <row r="558" ht="15.75" customHeight="1">
      <c r="A558" s="146"/>
      <c r="B558" s="146"/>
      <c r="C558" s="186"/>
    </row>
    <row r="559" ht="15.75" customHeight="1">
      <c r="A559" s="146"/>
      <c r="B559" s="146"/>
      <c r="C559" s="186"/>
    </row>
    <row r="560" ht="15.75" customHeight="1">
      <c r="A560" s="146"/>
      <c r="B560" s="146"/>
      <c r="C560" s="186"/>
    </row>
    <row r="561" ht="15.75" customHeight="1">
      <c r="A561" s="146"/>
      <c r="B561" s="146"/>
      <c r="C561" s="186"/>
    </row>
    <row r="562" ht="15.75" customHeight="1">
      <c r="A562" s="146"/>
      <c r="B562" s="146"/>
      <c r="C562" s="186"/>
    </row>
    <row r="563" ht="15.75" customHeight="1">
      <c r="A563" s="146"/>
      <c r="B563" s="146"/>
      <c r="C563" s="186"/>
    </row>
    <row r="564" ht="15.75" customHeight="1">
      <c r="A564" s="146"/>
      <c r="B564" s="146"/>
      <c r="C564" s="186"/>
    </row>
    <row r="565" ht="15.75" customHeight="1">
      <c r="A565" s="146"/>
      <c r="B565" s="146"/>
      <c r="C565" s="186"/>
    </row>
    <row r="566" ht="15.75" customHeight="1">
      <c r="A566" s="146"/>
      <c r="B566" s="146"/>
      <c r="C566" s="186"/>
    </row>
    <row r="567" ht="15.75" customHeight="1">
      <c r="A567" s="146"/>
      <c r="B567" s="146"/>
      <c r="C567" s="186"/>
    </row>
    <row r="568" ht="15.75" customHeight="1">
      <c r="A568" s="146"/>
      <c r="B568" s="146"/>
      <c r="C568" s="186"/>
    </row>
    <row r="569" ht="15.75" customHeight="1">
      <c r="A569" s="146"/>
      <c r="B569" s="146"/>
      <c r="C569" s="186"/>
    </row>
    <row r="570" ht="15.75" customHeight="1">
      <c r="A570" s="146"/>
      <c r="B570" s="146"/>
      <c r="C570" s="186"/>
    </row>
    <row r="571" ht="15.75" customHeight="1">
      <c r="A571" s="146"/>
      <c r="B571" s="146"/>
      <c r="C571" s="186"/>
    </row>
    <row r="572" ht="15.75" customHeight="1">
      <c r="A572" s="146"/>
      <c r="B572" s="146"/>
      <c r="C572" s="186"/>
    </row>
    <row r="573" ht="15.75" customHeight="1">
      <c r="A573" s="146"/>
      <c r="B573" s="146"/>
      <c r="C573" s="186"/>
    </row>
    <row r="574" ht="15.75" customHeight="1">
      <c r="A574" s="146"/>
      <c r="B574" s="146"/>
      <c r="C574" s="186"/>
    </row>
    <row r="575" ht="15.75" customHeight="1">
      <c r="A575" s="146"/>
      <c r="B575" s="146"/>
      <c r="C575" s="186"/>
    </row>
    <row r="576" ht="15.75" customHeight="1">
      <c r="A576" s="146"/>
      <c r="B576" s="146"/>
      <c r="C576" s="186"/>
    </row>
    <row r="577" ht="15.75" customHeight="1">
      <c r="A577" s="146"/>
      <c r="B577" s="146"/>
      <c r="C577" s="186"/>
    </row>
    <row r="578" ht="15.75" customHeight="1">
      <c r="A578" s="146"/>
      <c r="B578" s="146"/>
      <c r="C578" s="186"/>
    </row>
    <row r="579" ht="15.75" customHeight="1">
      <c r="A579" s="146"/>
      <c r="B579" s="146"/>
      <c r="C579" s="186"/>
    </row>
    <row r="580" ht="15.75" customHeight="1">
      <c r="A580" s="146"/>
      <c r="B580" s="146"/>
      <c r="C580" s="186"/>
    </row>
    <row r="581" ht="15.75" customHeight="1">
      <c r="A581" s="146"/>
      <c r="B581" s="146"/>
      <c r="C581" s="186"/>
    </row>
    <row r="582" ht="15.75" customHeight="1">
      <c r="A582" s="146"/>
      <c r="B582" s="146"/>
      <c r="C582" s="186"/>
    </row>
    <row r="583" ht="15.75" customHeight="1">
      <c r="A583" s="146"/>
      <c r="B583" s="146"/>
      <c r="C583" s="186"/>
    </row>
    <row r="584" ht="15.75" customHeight="1">
      <c r="A584" s="146"/>
      <c r="B584" s="146"/>
      <c r="C584" s="186"/>
    </row>
    <row r="585" ht="15.75" customHeight="1">
      <c r="A585" s="146"/>
      <c r="B585" s="146"/>
      <c r="C585" s="186"/>
    </row>
    <row r="586" ht="15.75" customHeight="1">
      <c r="A586" s="146"/>
      <c r="B586" s="146"/>
      <c r="C586" s="186"/>
    </row>
    <row r="587" ht="15.75" customHeight="1">
      <c r="A587" s="146"/>
      <c r="B587" s="146"/>
      <c r="C587" s="186"/>
    </row>
    <row r="588" ht="15.75" customHeight="1">
      <c r="A588" s="146"/>
      <c r="B588" s="146"/>
      <c r="C588" s="186"/>
    </row>
    <row r="589" ht="15.75" customHeight="1">
      <c r="A589" s="146"/>
      <c r="B589" s="146"/>
      <c r="C589" s="186"/>
    </row>
    <row r="590" ht="15.75" customHeight="1">
      <c r="A590" s="146"/>
      <c r="B590" s="146"/>
      <c r="C590" s="186"/>
    </row>
    <row r="591" ht="15.75" customHeight="1">
      <c r="A591" s="146"/>
      <c r="B591" s="146"/>
      <c r="C591" s="186"/>
    </row>
    <row r="592" ht="15.75" customHeight="1">
      <c r="A592" s="146"/>
      <c r="B592" s="146"/>
      <c r="C592" s="186"/>
    </row>
    <row r="593" ht="15.75" customHeight="1">
      <c r="A593" s="146"/>
      <c r="B593" s="146"/>
      <c r="C593" s="186"/>
    </row>
    <row r="594" ht="15.75" customHeight="1">
      <c r="A594" s="146"/>
      <c r="B594" s="146"/>
      <c r="C594" s="186"/>
    </row>
    <row r="595" ht="15.75" customHeight="1">
      <c r="A595" s="146"/>
      <c r="B595" s="146"/>
      <c r="C595" s="186"/>
    </row>
    <row r="596" ht="15.75" customHeight="1">
      <c r="A596" s="146"/>
      <c r="B596" s="146"/>
      <c r="C596" s="186"/>
    </row>
    <row r="597" ht="15.75" customHeight="1">
      <c r="A597" s="146"/>
      <c r="B597" s="146"/>
      <c r="C597" s="186"/>
    </row>
    <row r="598" ht="15.75" customHeight="1">
      <c r="A598" s="146"/>
      <c r="B598" s="146"/>
      <c r="C598" s="186"/>
    </row>
    <row r="599" ht="15.75" customHeight="1">
      <c r="A599" s="146"/>
      <c r="B599" s="146"/>
      <c r="C599" s="186"/>
    </row>
    <row r="600" ht="15.75" customHeight="1">
      <c r="A600" s="146"/>
      <c r="B600" s="146"/>
      <c r="C600" s="186"/>
    </row>
    <row r="601" ht="15.75" customHeight="1">
      <c r="A601" s="146"/>
      <c r="B601" s="146"/>
      <c r="C601" s="186"/>
    </row>
    <row r="602" ht="15.75" customHeight="1">
      <c r="A602" s="146"/>
      <c r="B602" s="146"/>
      <c r="C602" s="186"/>
    </row>
    <row r="603" ht="15.75" customHeight="1">
      <c r="A603" s="146"/>
      <c r="B603" s="146"/>
      <c r="C603" s="186"/>
    </row>
    <row r="604" ht="15.75" customHeight="1">
      <c r="A604" s="146"/>
      <c r="B604" s="146"/>
      <c r="C604" s="186"/>
    </row>
    <row r="605" ht="15.75" customHeight="1">
      <c r="A605" s="146"/>
      <c r="B605" s="146"/>
      <c r="C605" s="186"/>
    </row>
    <row r="606" ht="15.75" customHeight="1">
      <c r="A606" s="146"/>
      <c r="B606" s="146"/>
      <c r="C606" s="186"/>
    </row>
    <row r="607" ht="15.75" customHeight="1">
      <c r="A607" s="146"/>
      <c r="B607" s="146"/>
      <c r="C607" s="186"/>
    </row>
    <row r="608" ht="15.75" customHeight="1">
      <c r="A608" s="146"/>
      <c r="B608" s="146"/>
      <c r="C608" s="186"/>
    </row>
    <row r="609" ht="15.75" customHeight="1">
      <c r="A609" s="146"/>
      <c r="B609" s="146"/>
      <c r="C609" s="186"/>
    </row>
    <row r="610" ht="15.75" customHeight="1">
      <c r="A610" s="146"/>
      <c r="B610" s="146"/>
      <c r="C610" s="186"/>
    </row>
    <row r="611" ht="15.75" customHeight="1">
      <c r="A611" s="146"/>
      <c r="B611" s="146"/>
      <c r="C611" s="186"/>
    </row>
    <row r="612" ht="15.75" customHeight="1">
      <c r="A612" s="146"/>
      <c r="B612" s="146"/>
      <c r="C612" s="186"/>
    </row>
    <row r="613" ht="15.75" customHeight="1">
      <c r="A613" s="146"/>
      <c r="B613" s="146"/>
      <c r="C613" s="186"/>
    </row>
    <row r="614" ht="15.75" customHeight="1">
      <c r="A614" s="146"/>
      <c r="B614" s="146"/>
      <c r="C614" s="186"/>
    </row>
    <row r="615" ht="15.75" customHeight="1">
      <c r="A615" s="146"/>
      <c r="B615" s="146"/>
      <c r="C615" s="186"/>
    </row>
    <row r="616" ht="15.75" customHeight="1">
      <c r="A616" s="146"/>
      <c r="B616" s="146"/>
      <c r="C616" s="186"/>
    </row>
    <row r="617" ht="15.75" customHeight="1">
      <c r="A617" s="146"/>
      <c r="B617" s="146"/>
      <c r="C617" s="186"/>
    </row>
    <row r="618" ht="15.75" customHeight="1">
      <c r="A618" s="146"/>
      <c r="B618" s="146"/>
      <c r="C618" s="186"/>
    </row>
    <row r="619" ht="15.75" customHeight="1">
      <c r="A619" s="146"/>
      <c r="B619" s="146"/>
      <c r="C619" s="186"/>
    </row>
    <row r="620" ht="15.75" customHeight="1">
      <c r="A620" s="146"/>
      <c r="B620" s="146"/>
      <c r="C620" s="186"/>
    </row>
    <row r="621" ht="15.75" customHeight="1">
      <c r="A621" s="146"/>
      <c r="B621" s="146"/>
      <c r="C621" s="186"/>
    </row>
    <row r="622" ht="15.75" customHeight="1">
      <c r="A622" s="146"/>
      <c r="B622" s="146"/>
      <c r="C622" s="186"/>
    </row>
    <row r="623" ht="15.75" customHeight="1">
      <c r="A623" s="146"/>
      <c r="B623" s="146"/>
      <c r="C623" s="186"/>
    </row>
    <row r="624" ht="15.75" customHeight="1">
      <c r="A624" s="146"/>
      <c r="B624" s="146"/>
      <c r="C624" s="186"/>
    </row>
    <row r="625" ht="15.75" customHeight="1">
      <c r="A625" s="146"/>
      <c r="B625" s="146"/>
      <c r="C625" s="186"/>
    </row>
    <row r="626" ht="15.75" customHeight="1">
      <c r="A626" s="146"/>
      <c r="B626" s="146"/>
      <c r="C626" s="186"/>
    </row>
    <row r="627" ht="15.75" customHeight="1">
      <c r="A627" s="146"/>
      <c r="B627" s="146"/>
      <c r="C627" s="186"/>
    </row>
    <row r="628" ht="15.75" customHeight="1">
      <c r="A628" s="146"/>
      <c r="B628" s="146"/>
      <c r="C628" s="186"/>
    </row>
    <row r="629" ht="15.75" customHeight="1">
      <c r="A629" s="146"/>
      <c r="B629" s="146"/>
      <c r="C629" s="186"/>
    </row>
    <row r="630" ht="15.75" customHeight="1">
      <c r="A630" s="146"/>
      <c r="B630" s="146"/>
      <c r="C630" s="186"/>
    </row>
    <row r="631" ht="15.75" customHeight="1">
      <c r="A631" s="146"/>
      <c r="B631" s="146"/>
      <c r="C631" s="186"/>
    </row>
    <row r="632" ht="15.75" customHeight="1">
      <c r="A632" s="146"/>
      <c r="B632" s="146"/>
      <c r="C632" s="186"/>
    </row>
    <row r="633" ht="15.75" customHeight="1">
      <c r="A633" s="146"/>
      <c r="B633" s="146"/>
      <c r="C633" s="186"/>
    </row>
    <row r="634" ht="15.75" customHeight="1">
      <c r="A634" s="146"/>
      <c r="B634" s="146"/>
      <c r="C634" s="186"/>
    </row>
    <row r="635" ht="15.75" customHeight="1">
      <c r="A635" s="146"/>
      <c r="B635" s="146"/>
      <c r="C635" s="186"/>
    </row>
    <row r="636" ht="15.75" customHeight="1">
      <c r="A636" s="146"/>
      <c r="B636" s="146"/>
      <c r="C636" s="186"/>
    </row>
    <row r="637" ht="15.75" customHeight="1">
      <c r="A637" s="146"/>
      <c r="B637" s="146"/>
      <c r="C637" s="186"/>
    </row>
    <row r="638" ht="15.75" customHeight="1">
      <c r="A638" s="146"/>
      <c r="B638" s="146"/>
      <c r="C638" s="186"/>
    </row>
    <row r="639" ht="15.75" customHeight="1">
      <c r="A639" s="146"/>
      <c r="B639" s="146"/>
      <c r="C639" s="186"/>
    </row>
    <row r="640" ht="15.75" customHeight="1">
      <c r="A640" s="146"/>
      <c r="B640" s="146"/>
      <c r="C640" s="186"/>
    </row>
    <row r="641" ht="15.75" customHeight="1">
      <c r="A641" s="146"/>
      <c r="B641" s="146"/>
      <c r="C641" s="186"/>
    </row>
    <row r="642" ht="15.75" customHeight="1">
      <c r="A642" s="146"/>
      <c r="B642" s="146"/>
      <c r="C642" s="186"/>
    </row>
    <row r="643" ht="15.75" customHeight="1">
      <c r="A643" s="146"/>
      <c r="B643" s="146"/>
      <c r="C643" s="186"/>
    </row>
    <row r="644" ht="15.75" customHeight="1">
      <c r="A644" s="146"/>
      <c r="B644" s="146"/>
      <c r="C644" s="186"/>
    </row>
    <row r="645" ht="15.75" customHeight="1">
      <c r="A645" s="146"/>
      <c r="B645" s="146"/>
      <c r="C645" s="186"/>
    </row>
    <row r="646" ht="15.75" customHeight="1">
      <c r="A646" s="146"/>
      <c r="B646" s="146"/>
      <c r="C646" s="186"/>
    </row>
    <row r="647" ht="15.75" customHeight="1">
      <c r="A647" s="146"/>
      <c r="B647" s="146"/>
      <c r="C647" s="186"/>
    </row>
    <row r="648" ht="15.75" customHeight="1">
      <c r="A648" s="146"/>
      <c r="B648" s="146"/>
      <c r="C648" s="186"/>
    </row>
    <row r="649" ht="15.75" customHeight="1">
      <c r="A649" s="146"/>
      <c r="B649" s="146"/>
      <c r="C649" s="186"/>
    </row>
    <row r="650" ht="15.75" customHeight="1">
      <c r="A650" s="146"/>
      <c r="B650" s="146"/>
      <c r="C650" s="186"/>
    </row>
    <row r="651" ht="15.75" customHeight="1">
      <c r="A651" s="146"/>
      <c r="B651" s="146"/>
      <c r="C651" s="186"/>
    </row>
    <row r="652" ht="15.75" customHeight="1">
      <c r="A652" s="146"/>
      <c r="B652" s="146"/>
      <c r="C652" s="186"/>
    </row>
    <row r="653" ht="15.75" customHeight="1">
      <c r="A653" s="146"/>
      <c r="B653" s="146"/>
      <c r="C653" s="186"/>
    </row>
    <row r="654" ht="15.75" customHeight="1">
      <c r="A654" s="146"/>
      <c r="B654" s="146"/>
      <c r="C654" s="186"/>
    </row>
    <row r="655" ht="15.75" customHeight="1">
      <c r="A655" s="146"/>
      <c r="B655" s="146"/>
      <c r="C655" s="186"/>
    </row>
    <row r="656" ht="15.75" customHeight="1">
      <c r="A656" s="146"/>
      <c r="B656" s="146"/>
      <c r="C656" s="186"/>
    </row>
    <row r="657" ht="15.75" customHeight="1">
      <c r="A657" s="146"/>
      <c r="B657" s="146"/>
      <c r="C657" s="186"/>
    </row>
    <row r="658" ht="15.75" customHeight="1">
      <c r="A658" s="146"/>
      <c r="B658" s="146"/>
      <c r="C658" s="186"/>
    </row>
    <row r="659" ht="15.75" customHeight="1">
      <c r="A659" s="146"/>
      <c r="B659" s="146"/>
      <c r="C659" s="186"/>
    </row>
    <row r="660" ht="15.75" customHeight="1">
      <c r="A660" s="146"/>
      <c r="B660" s="146"/>
      <c r="C660" s="186"/>
    </row>
    <row r="661" ht="15.75" customHeight="1">
      <c r="A661" s="146"/>
      <c r="B661" s="146"/>
      <c r="C661" s="186"/>
    </row>
    <row r="662" ht="15.75" customHeight="1">
      <c r="A662" s="146"/>
      <c r="B662" s="146"/>
      <c r="C662" s="186"/>
    </row>
    <row r="663" ht="15.75" customHeight="1">
      <c r="A663" s="146"/>
      <c r="B663" s="146"/>
      <c r="C663" s="186"/>
    </row>
    <row r="664" ht="15.75" customHeight="1">
      <c r="A664" s="146"/>
      <c r="B664" s="146"/>
      <c r="C664" s="186"/>
    </row>
    <row r="665" ht="15.75" customHeight="1">
      <c r="A665" s="146"/>
      <c r="B665" s="146"/>
      <c r="C665" s="186"/>
    </row>
    <row r="666" ht="15.75" customHeight="1">
      <c r="A666" s="146"/>
      <c r="B666" s="146"/>
      <c r="C666" s="186"/>
    </row>
    <row r="667" ht="15.75" customHeight="1">
      <c r="A667" s="146"/>
      <c r="B667" s="146"/>
      <c r="C667" s="186"/>
    </row>
    <row r="668" ht="15.75" customHeight="1">
      <c r="A668" s="146"/>
      <c r="B668" s="146"/>
      <c r="C668" s="186"/>
    </row>
    <row r="669" ht="15.75" customHeight="1">
      <c r="A669" s="146"/>
      <c r="B669" s="146"/>
      <c r="C669" s="186"/>
    </row>
    <row r="670" ht="15.75" customHeight="1">
      <c r="A670" s="146"/>
      <c r="B670" s="146"/>
      <c r="C670" s="186"/>
    </row>
    <row r="671" ht="15.75" customHeight="1">
      <c r="A671" s="146"/>
      <c r="B671" s="146"/>
      <c r="C671" s="186"/>
    </row>
    <row r="672" ht="15.75" customHeight="1">
      <c r="A672" s="146"/>
      <c r="B672" s="146"/>
      <c r="C672" s="186"/>
    </row>
    <row r="673" ht="15.75" customHeight="1">
      <c r="A673" s="146"/>
      <c r="B673" s="146"/>
      <c r="C673" s="186"/>
    </row>
    <row r="674" ht="15.75" customHeight="1">
      <c r="A674" s="146"/>
      <c r="B674" s="146"/>
      <c r="C674" s="186"/>
    </row>
    <row r="675" ht="15.75" customHeight="1">
      <c r="A675" s="146"/>
      <c r="B675" s="146"/>
      <c r="C675" s="186"/>
    </row>
    <row r="676" ht="15.75" customHeight="1">
      <c r="A676" s="146"/>
      <c r="B676" s="146"/>
      <c r="C676" s="186"/>
    </row>
    <row r="677" ht="15.75" customHeight="1">
      <c r="A677" s="146"/>
      <c r="B677" s="146"/>
      <c r="C677" s="186"/>
    </row>
    <row r="678" ht="15.75" customHeight="1">
      <c r="A678" s="146"/>
      <c r="B678" s="146"/>
      <c r="C678" s="186"/>
    </row>
    <row r="679" ht="15.75" customHeight="1">
      <c r="A679" s="146"/>
      <c r="B679" s="146"/>
      <c r="C679" s="186"/>
    </row>
    <row r="680" ht="15.75" customHeight="1">
      <c r="A680" s="146"/>
      <c r="B680" s="146"/>
      <c r="C680" s="186"/>
    </row>
    <row r="681" ht="15.75" customHeight="1">
      <c r="A681" s="146"/>
      <c r="B681" s="146"/>
      <c r="C681" s="186"/>
    </row>
    <row r="682" ht="15.75" customHeight="1">
      <c r="A682" s="146"/>
      <c r="B682" s="146"/>
      <c r="C682" s="186"/>
    </row>
    <row r="683" ht="15.75" customHeight="1">
      <c r="A683" s="146"/>
      <c r="B683" s="146"/>
      <c r="C683" s="186"/>
    </row>
    <row r="684" ht="15.75" customHeight="1">
      <c r="A684" s="146"/>
      <c r="B684" s="146"/>
      <c r="C684" s="186"/>
    </row>
    <row r="685" ht="15.75" customHeight="1">
      <c r="A685" s="146"/>
      <c r="B685" s="146"/>
      <c r="C685" s="186"/>
    </row>
    <row r="686" ht="15.75" customHeight="1">
      <c r="A686" s="146"/>
      <c r="B686" s="146"/>
      <c r="C686" s="186"/>
    </row>
    <row r="687" ht="15.75" customHeight="1">
      <c r="A687" s="146"/>
      <c r="B687" s="146"/>
      <c r="C687" s="186"/>
    </row>
    <row r="688" ht="15.75" customHeight="1">
      <c r="A688" s="146"/>
      <c r="B688" s="146"/>
      <c r="C688" s="186"/>
    </row>
    <row r="689" ht="15.75" customHeight="1">
      <c r="A689" s="146"/>
      <c r="B689" s="146"/>
      <c r="C689" s="186"/>
    </row>
    <row r="690" ht="15.75" customHeight="1">
      <c r="A690" s="146"/>
      <c r="B690" s="146"/>
      <c r="C690" s="186"/>
    </row>
    <row r="691" ht="15.75" customHeight="1">
      <c r="A691" s="146"/>
      <c r="B691" s="146"/>
      <c r="C691" s="186"/>
    </row>
    <row r="692" ht="15.75" customHeight="1">
      <c r="A692" s="146"/>
      <c r="B692" s="146"/>
      <c r="C692" s="186"/>
    </row>
    <row r="693" ht="15.75" customHeight="1">
      <c r="A693" s="146"/>
      <c r="B693" s="146"/>
      <c r="C693" s="186"/>
    </row>
    <row r="694" ht="15.75" customHeight="1">
      <c r="A694" s="146"/>
      <c r="B694" s="146"/>
      <c r="C694" s="186"/>
    </row>
    <row r="695" ht="15.75" customHeight="1">
      <c r="A695" s="146"/>
      <c r="B695" s="146"/>
      <c r="C695" s="186"/>
    </row>
    <row r="696" ht="15.75" customHeight="1">
      <c r="A696" s="146"/>
      <c r="B696" s="146"/>
      <c r="C696" s="186"/>
    </row>
    <row r="697" ht="15.75" customHeight="1">
      <c r="A697" s="146"/>
      <c r="B697" s="146"/>
      <c r="C697" s="186"/>
    </row>
    <row r="698" ht="15.75" customHeight="1">
      <c r="A698" s="146"/>
      <c r="B698" s="146"/>
      <c r="C698" s="186"/>
    </row>
    <row r="699" ht="15.75" customHeight="1">
      <c r="A699" s="146"/>
      <c r="B699" s="146"/>
      <c r="C699" s="186"/>
    </row>
    <row r="700" ht="15.75" customHeight="1">
      <c r="A700" s="146"/>
      <c r="B700" s="146"/>
      <c r="C700" s="186"/>
    </row>
    <row r="701" ht="15.75" customHeight="1">
      <c r="A701" s="146"/>
      <c r="B701" s="146"/>
      <c r="C701" s="186"/>
    </row>
    <row r="702" ht="15.75" customHeight="1">
      <c r="A702" s="146"/>
      <c r="B702" s="146"/>
      <c r="C702" s="186"/>
    </row>
    <row r="703" ht="15.75" customHeight="1">
      <c r="A703" s="146"/>
      <c r="B703" s="146"/>
      <c r="C703" s="186"/>
    </row>
    <row r="704" ht="15.75" customHeight="1">
      <c r="A704" s="146"/>
      <c r="B704" s="146"/>
      <c r="C704" s="186"/>
    </row>
    <row r="705" ht="15.75" customHeight="1">
      <c r="A705" s="146"/>
      <c r="B705" s="146"/>
      <c r="C705" s="186"/>
    </row>
    <row r="706" ht="15.75" customHeight="1">
      <c r="A706" s="146"/>
      <c r="B706" s="146"/>
      <c r="C706" s="186"/>
    </row>
    <row r="707" ht="15.75" customHeight="1">
      <c r="A707" s="146"/>
      <c r="B707" s="146"/>
      <c r="C707" s="186"/>
    </row>
    <row r="708" ht="15.75" customHeight="1">
      <c r="A708" s="146"/>
      <c r="B708" s="146"/>
      <c r="C708" s="186"/>
    </row>
    <row r="709" ht="15.75" customHeight="1">
      <c r="A709" s="146"/>
      <c r="B709" s="146"/>
      <c r="C709" s="186"/>
    </row>
    <row r="710" ht="15.75" customHeight="1">
      <c r="A710" s="146"/>
      <c r="B710" s="146"/>
      <c r="C710" s="186"/>
    </row>
    <row r="711" ht="15.75" customHeight="1">
      <c r="A711" s="146"/>
      <c r="B711" s="146"/>
      <c r="C711" s="186"/>
    </row>
    <row r="712" ht="15.75" customHeight="1">
      <c r="A712" s="146"/>
      <c r="B712" s="146"/>
      <c r="C712" s="186"/>
    </row>
    <row r="713" ht="15.75" customHeight="1">
      <c r="A713" s="146"/>
      <c r="B713" s="146"/>
      <c r="C713" s="186"/>
    </row>
    <row r="714" ht="15.75" customHeight="1">
      <c r="A714" s="146"/>
      <c r="B714" s="146"/>
      <c r="C714" s="186"/>
    </row>
    <row r="715" ht="15.75" customHeight="1">
      <c r="A715" s="146"/>
      <c r="B715" s="146"/>
      <c r="C715" s="186"/>
    </row>
    <row r="716" ht="15.75" customHeight="1">
      <c r="A716" s="146"/>
      <c r="B716" s="146"/>
      <c r="C716" s="186"/>
    </row>
    <row r="717" ht="15.75" customHeight="1">
      <c r="A717" s="146"/>
      <c r="B717" s="146"/>
      <c r="C717" s="186"/>
    </row>
    <row r="718" ht="15.75" customHeight="1">
      <c r="A718" s="146"/>
      <c r="B718" s="146"/>
      <c r="C718" s="186"/>
    </row>
    <row r="719" ht="15.75" customHeight="1">
      <c r="A719" s="146"/>
      <c r="B719" s="146"/>
      <c r="C719" s="186"/>
    </row>
    <row r="720" ht="15.75" customHeight="1">
      <c r="A720" s="146"/>
      <c r="B720" s="146"/>
      <c r="C720" s="186"/>
    </row>
    <row r="721" ht="15.75" customHeight="1">
      <c r="A721" s="146"/>
      <c r="B721" s="146"/>
      <c r="C721" s="186"/>
    </row>
    <row r="722" ht="15.75" customHeight="1">
      <c r="A722" s="146"/>
      <c r="B722" s="146"/>
      <c r="C722" s="186"/>
    </row>
    <row r="723" ht="15.75" customHeight="1">
      <c r="A723" s="146"/>
      <c r="B723" s="146"/>
      <c r="C723" s="186"/>
    </row>
    <row r="724" ht="15.75" customHeight="1">
      <c r="A724" s="146"/>
      <c r="B724" s="146"/>
      <c r="C724" s="186"/>
    </row>
    <row r="725" ht="15.75" customHeight="1">
      <c r="A725" s="146"/>
      <c r="B725" s="146"/>
      <c r="C725" s="186"/>
    </row>
    <row r="726" ht="15.75" customHeight="1">
      <c r="A726" s="146"/>
      <c r="B726" s="146"/>
      <c r="C726" s="186"/>
    </row>
    <row r="727" ht="15.75" customHeight="1">
      <c r="A727" s="146"/>
      <c r="B727" s="146"/>
      <c r="C727" s="186"/>
    </row>
    <row r="728" ht="15.75" customHeight="1">
      <c r="A728" s="146"/>
      <c r="B728" s="146"/>
      <c r="C728" s="186"/>
    </row>
    <row r="729" ht="15.75" customHeight="1">
      <c r="A729" s="146"/>
      <c r="B729" s="146"/>
      <c r="C729" s="186"/>
    </row>
    <row r="730" ht="15.75" customHeight="1">
      <c r="A730" s="146"/>
      <c r="B730" s="146"/>
      <c r="C730" s="186"/>
    </row>
    <row r="731" ht="15.75" customHeight="1">
      <c r="A731" s="146"/>
      <c r="B731" s="146"/>
      <c r="C731" s="186"/>
    </row>
    <row r="732" ht="15.75" customHeight="1">
      <c r="A732" s="146"/>
      <c r="B732" s="146"/>
      <c r="C732" s="186"/>
    </row>
    <row r="733" ht="15.75" customHeight="1">
      <c r="A733" s="146"/>
      <c r="B733" s="146"/>
      <c r="C733" s="186"/>
    </row>
    <row r="734" ht="15.75" customHeight="1">
      <c r="A734" s="146"/>
      <c r="B734" s="146"/>
      <c r="C734" s="186"/>
    </row>
    <row r="735" ht="15.75" customHeight="1">
      <c r="A735" s="146"/>
      <c r="B735" s="146"/>
      <c r="C735" s="186"/>
    </row>
    <row r="736" ht="15.75" customHeight="1">
      <c r="A736" s="146"/>
      <c r="B736" s="146"/>
      <c r="C736" s="186"/>
    </row>
    <row r="737" ht="15.75" customHeight="1">
      <c r="A737" s="146"/>
      <c r="B737" s="146"/>
      <c r="C737" s="186"/>
    </row>
    <row r="738" ht="15.75" customHeight="1">
      <c r="A738" s="146"/>
      <c r="B738" s="146"/>
      <c r="C738" s="186"/>
    </row>
    <row r="739" ht="15.75" customHeight="1">
      <c r="A739" s="146"/>
      <c r="B739" s="146"/>
      <c r="C739" s="186"/>
    </row>
    <row r="740" ht="15.75" customHeight="1">
      <c r="A740" s="146"/>
      <c r="B740" s="146"/>
      <c r="C740" s="186"/>
    </row>
    <row r="741" ht="15.75" customHeight="1">
      <c r="A741" s="146"/>
      <c r="B741" s="146"/>
      <c r="C741" s="186"/>
    </row>
    <row r="742" ht="15.75" customHeight="1">
      <c r="A742" s="146"/>
      <c r="B742" s="146"/>
      <c r="C742" s="186"/>
    </row>
    <row r="743" ht="15.75" customHeight="1">
      <c r="A743" s="146"/>
      <c r="B743" s="146"/>
      <c r="C743" s="186"/>
    </row>
    <row r="744" ht="15.75" customHeight="1">
      <c r="A744" s="146"/>
      <c r="B744" s="146"/>
      <c r="C744" s="186"/>
    </row>
    <row r="745" ht="15.75" customHeight="1">
      <c r="A745" s="146"/>
      <c r="B745" s="146"/>
      <c r="C745" s="186"/>
    </row>
    <row r="746" ht="15.75" customHeight="1">
      <c r="A746" s="146"/>
      <c r="B746" s="146"/>
      <c r="C746" s="186"/>
    </row>
    <row r="747" ht="15.75" customHeight="1">
      <c r="A747" s="146"/>
      <c r="B747" s="146"/>
      <c r="C747" s="186"/>
    </row>
    <row r="748" ht="15.75" customHeight="1">
      <c r="A748" s="146"/>
      <c r="B748" s="146"/>
      <c r="C748" s="186"/>
    </row>
    <row r="749" ht="15.75" customHeight="1">
      <c r="A749" s="146"/>
      <c r="B749" s="146"/>
      <c r="C749" s="186"/>
    </row>
    <row r="750" ht="15.75" customHeight="1">
      <c r="A750" s="146"/>
      <c r="B750" s="146"/>
      <c r="C750" s="186"/>
    </row>
    <row r="751" ht="15.75" customHeight="1">
      <c r="A751" s="146"/>
      <c r="B751" s="146"/>
      <c r="C751" s="186"/>
    </row>
    <row r="752" ht="15.75" customHeight="1">
      <c r="A752" s="146"/>
      <c r="B752" s="146"/>
      <c r="C752" s="186"/>
    </row>
    <row r="753" ht="15.75" customHeight="1">
      <c r="A753" s="146"/>
      <c r="B753" s="146"/>
      <c r="C753" s="186"/>
    </row>
    <row r="754" ht="15.75" customHeight="1">
      <c r="A754" s="146"/>
      <c r="B754" s="146"/>
      <c r="C754" s="186"/>
    </row>
    <row r="755" ht="15.75" customHeight="1">
      <c r="A755" s="146"/>
      <c r="B755" s="146"/>
      <c r="C755" s="186"/>
    </row>
    <row r="756" ht="15.75" customHeight="1">
      <c r="A756" s="146"/>
      <c r="B756" s="146"/>
      <c r="C756" s="186"/>
    </row>
    <row r="757" ht="15.75" customHeight="1">
      <c r="A757" s="146"/>
      <c r="B757" s="146"/>
      <c r="C757" s="186"/>
    </row>
    <row r="758" ht="15.75" customHeight="1">
      <c r="A758" s="146"/>
      <c r="B758" s="146"/>
      <c r="C758" s="186"/>
    </row>
    <row r="759" ht="15.75" customHeight="1">
      <c r="A759" s="146"/>
      <c r="B759" s="146"/>
      <c r="C759" s="186"/>
    </row>
    <row r="760" ht="15.75" customHeight="1">
      <c r="A760" s="146"/>
      <c r="B760" s="146"/>
      <c r="C760" s="186"/>
    </row>
    <row r="761" ht="15.75" customHeight="1">
      <c r="A761" s="146"/>
      <c r="B761" s="146"/>
      <c r="C761" s="186"/>
    </row>
    <row r="762" ht="15.75" customHeight="1">
      <c r="A762" s="146"/>
      <c r="B762" s="146"/>
      <c r="C762" s="186"/>
    </row>
    <row r="763" ht="15.75" customHeight="1">
      <c r="A763" s="146"/>
      <c r="B763" s="146"/>
      <c r="C763" s="186"/>
    </row>
    <row r="764" ht="15.75" customHeight="1">
      <c r="A764" s="146"/>
      <c r="B764" s="146"/>
      <c r="C764" s="186"/>
    </row>
    <row r="765" ht="15.75" customHeight="1">
      <c r="A765" s="146"/>
      <c r="B765" s="146"/>
      <c r="C765" s="186"/>
    </row>
    <row r="766" ht="15.75" customHeight="1">
      <c r="A766" s="146"/>
      <c r="B766" s="146"/>
      <c r="C766" s="186"/>
    </row>
    <row r="767" ht="15.75" customHeight="1">
      <c r="A767" s="146"/>
      <c r="B767" s="146"/>
      <c r="C767" s="186"/>
    </row>
    <row r="768" ht="15.75" customHeight="1">
      <c r="A768" s="146"/>
      <c r="B768" s="146"/>
      <c r="C768" s="186"/>
    </row>
    <row r="769" ht="15.75" customHeight="1">
      <c r="A769" s="146"/>
      <c r="B769" s="146"/>
      <c r="C769" s="186"/>
    </row>
    <row r="770" ht="15.75" customHeight="1">
      <c r="A770" s="146"/>
      <c r="B770" s="146"/>
      <c r="C770" s="186"/>
    </row>
    <row r="771" ht="15.75" customHeight="1">
      <c r="A771" s="146"/>
      <c r="B771" s="146"/>
      <c r="C771" s="186"/>
    </row>
    <row r="772" ht="15.75" customHeight="1">
      <c r="A772" s="146"/>
      <c r="B772" s="146"/>
      <c r="C772" s="186"/>
    </row>
    <row r="773" ht="15.75" customHeight="1">
      <c r="A773" s="146"/>
      <c r="B773" s="146"/>
      <c r="C773" s="186"/>
    </row>
    <row r="774" ht="15.75" customHeight="1">
      <c r="A774" s="146"/>
      <c r="B774" s="146"/>
      <c r="C774" s="186"/>
    </row>
    <row r="775" ht="15.75" customHeight="1">
      <c r="A775" s="146"/>
      <c r="B775" s="146"/>
      <c r="C775" s="186"/>
    </row>
    <row r="776" ht="15.75" customHeight="1">
      <c r="A776" s="146"/>
      <c r="B776" s="146"/>
      <c r="C776" s="186"/>
    </row>
    <row r="777" ht="15.75" customHeight="1">
      <c r="A777" s="146"/>
      <c r="B777" s="146"/>
      <c r="C777" s="186"/>
    </row>
    <row r="778" ht="15.75" customHeight="1">
      <c r="A778" s="146"/>
      <c r="B778" s="146"/>
      <c r="C778" s="186"/>
    </row>
    <row r="779" ht="15.75" customHeight="1">
      <c r="A779" s="146"/>
      <c r="B779" s="146"/>
      <c r="C779" s="186"/>
    </row>
    <row r="780" ht="15.75" customHeight="1">
      <c r="A780" s="146"/>
      <c r="B780" s="146"/>
      <c r="C780" s="186"/>
    </row>
    <row r="781" ht="15.75" customHeight="1">
      <c r="A781" s="146"/>
      <c r="B781" s="146"/>
      <c r="C781" s="186"/>
    </row>
    <row r="782" ht="15.75" customHeight="1">
      <c r="A782" s="146"/>
      <c r="B782" s="146"/>
      <c r="C782" s="186"/>
    </row>
    <row r="783" ht="15.75" customHeight="1">
      <c r="A783" s="146"/>
      <c r="B783" s="146"/>
      <c r="C783" s="186"/>
    </row>
    <row r="784" ht="15.75" customHeight="1">
      <c r="A784" s="146"/>
      <c r="B784" s="146"/>
      <c r="C784" s="186"/>
    </row>
    <row r="785" ht="15.75" customHeight="1">
      <c r="A785" s="146"/>
      <c r="B785" s="146"/>
      <c r="C785" s="186"/>
    </row>
    <row r="786" ht="15.75" customHeight="1">
      <c r="A786" s="146"/>
      <c r="B786" s="146"/>
      <c r="C786" s="186"/>
    </row>
    <row r="787" ht="15.75" customHeight="1">
      <c r="A787" s="146"/>
      <c r="B787" s="146"/>
      <c r="C787" s="186"/>
    </row>
    <row r="788" ht="15.75" customHeight="1">
      <c r="A788" s="146"/>
      <c r="B788" s="146"/>
      <c r="C788" s="186"/>
    </row>
    <row r="789" ht="15.75" customHeight="1">
      <c r="A789" s="146"/>
      <c r="B789" s="146"/>
      <c r="C789" s="186"/>
    </row>
    <row r="790" ht="15.75" customHeight="1">
      <c r="A790" s="146"/>
      <c r="B790" s="146"/>
      <c r="C790" s="186"/>
    </row>
    <row r="791" ht="15.75" customHeight="1">
      <c r="A791" s="146"/>
      <c r="B791" s="146"/>
      <c r="C791" s="186"/>
    </row>
    <row r="792" ht="15.75" customHeight="1">
      <c r="A792" s="146"/>
      <c r="B792" s="146"/>
      <c r="C792" s="186"/>
    </row>
    <row r="793" ht="15.75" customHeight="1">
      <c r="A793" s="146"/>
      <c r="B793" s="146"/>
      <c r="C793" s="186"/>
    </row>
    <row r="794" ht="15.75" customHeight="1">
      <c r="A794" s="146"/>
      <c r="B794" s="146"/>
      <c r="C794" s="186"/>
    </row>
    <row r="795" ht="15.75" customHeight="1">
      <c r="A795" s="146"/>
      <c r="B795" s="146"/>
      <c r="C795" s="186"/>
    </row>
    <row r="796" ht="15.75" customHeight="1">
      <c r="A796" s="146"/>
      <c r="B796" s="146"/>
      <c r="C796" s="186"/>
    </row>
    <row r="797" ht="15.75" customHeight="1">
      <c r="A797" s="146"/>
      <c r="B797" s="146"/>
      <c r="C797" s="186"/>
    </row>
    <row r="798" ht="15.75" customHeight="1">
      <c r="A798" s="146"/>
      <c r="B798" s="146"/>
      <c r="C798" s="186"/>
    </row>
    <row r="799" ht="15.75" customHeight="1">
      <c r="A799" s="146"/>
      <c r="B799" s="146"/>
      <c r="C799" s="186"/>
    </row>
    <row r="800" ht="15.75" customHeight="1">
      <c r="A800" s="146"/>
      <c r="B800" s="146"/>
      <c r="C800" s="186"/>
    </row>
    <row r="801" ht="15.75" customHeight="1">
      <c r="A801" s="146"/>
      <c r="B801" s="146"/>
      <c r="C801" s="186"/>
    </row>
    <row r="802" ht="15.75" customHeight="1">
      <c r="A802" s="146"/>
      <c r="B802" s="146"/>
      <c r="C802" s="186"/>
    </row>
    <row r="803" ht="15.75" customHeight="1">
      <c r="A803" s="146"/>
      <c r="B803" s="146"/>
      <c r="C803" s="186"/>
    </row>
    <row r="804" ht="15.75" customHeight="1">
      <c r="A804" s="146"/>
      <c r="B804" s="146"/>
      <c r="C804" s="186"/>
    </row>
    <row r="805" ht="15.75" customHeight="1">
      <c r="A805" s="146"/>
      <c r="B805" s="146"/>
      <c r="C805" s="186"/>
    </row>
    <row r="806" ht="15.75" customHeight="1">
      <c r="A806" s="146"/>
      <c r="B806" s="146"/>
      <c r="C806" s="186"/>
    </row>
    <row r="807" ht="15.75" customHeight="1">
      <c r="A807" s="146"/>
      <c r="B807" s="146"/>
      <c r="C807" s="186"/>
    </row>
    <row r="808" ht="15.75" customHeight="1">
      <c r="A808" s="146"/>
      <c r="B808" s="146"/>
      <c r="C808" s="186"/>
    </row>
    <row r="809" ht="15.75" customHeight="1">
      <c r="A809" s="146"/>
      <c r="B809" s="146"/>
      <c r="C809" s="186"/>
    </row>
    <row r="810" ht="15.75" customHeight="1">
      <c r="A810" s="146"/>
      <c r="B810" s="146"/>
      <c r="C810" s="186"/>
    </row>
    <row r="811" ht="15.75" customHeight="1">
      <c r="A811" s="146"/>
      <c r="B811" s="146"/>
      <c r="C811" s="186"/>
    </row>
    <row r="812" ht="15.75" customHeight="1">
      <c r="A812" s="146"/>
      <c r="B812" s="146"/>
      <c r="C812" s="186"/>
    </row>
    <row r="813" ht="15.75" customHeight="1">
      <c r="A813" s="146"/>
      <c r="B813" s="146"/>
      <c r="C813" s="186"/>
    </row>
    <row r="814" ht="15.75" customHeight="1">
      <c r="A814" s="146"/>
      <c r="B814" s="146"/>
      <c r="C814" s="186"/>
    </row>
    <row r="815" ht="15.75" customHeight="1">
      <c r="A815" s="146"/>
      <c r="B815" s="146"/>
      <c r="C815" s="186"/>
    </row>
    <row r="816" ht="15.75" customHeight="1">
      <c r="A816" s="146"/>
      <c r="B816" s="146"/>
      <c r="C816" s="186"/>
    </row>
    <row r="817" ht="15.75" customHeight="1">
      <c r="A817" s="146"/>
      <c r="B817" s="146"/>
      <c r="C817" s="186"/>
    </row>
    <row r="818" ht="15.75" customHeight="1">
      <c r="A818" s="146"/>
      <c r="B818" s="146"/>
      <c r="C818" s="186"/>
    </row>
    <row r="819" ht="15.75" customHeight="1">
      <c r="A819" s="146"/>
      <c r="B819" s="146"/>
      <c r="C819" s="186"/>
    </row>
    <row r="820" ht="15.75" customHeight="1">
      <c r="A820" s="146"/>
      <c r="B820" s="146"/>
      <c r="C820" s="186"/>
    </row>
    <row r="821" ht="15.75" customHeight="1">
      <c r="A821" s="146"/>
      <c r="B821" s="146"/>
      <c r="C821" s="186"/>
    </row>
    <row r="822" ht="15.75" customHeight="1">
      <c r="A822" s="146"/>
      <c r="B822" s="146"/>
      <c r="C822" s="186"/>
    </row>
    <row r="823" ht="15.75" customHeight="1">
      <c r="A823" s="146"/>
      <c r="B823" s="146"/>
      <c r="C823" s="186"/>
    </row>
    <row r="824" ht="15.75" customHeight="1">
      <c r="A824" s="146"/>
      <c r="B824" s="146"/>
      <c r="C824" s="186"/>
    </row>
    <row r="825" ht="15.75" customHeight="1">
      <c r="A825" s="146"/>
      <c r="B825" s="146"/>
      <c r="C825" s="186"/>
    </row>
    <row r="826" ht="15.75" customHeight="1">
      <c r="A826" s="146"/>
      <c r="B826" s="146"/>
      <c r="C826" s="186"/>
    </row>
    <row r="827" ht="15.75" customHeight="1">
      <c r="A827" s="146"/>
      <c r="B827" s="146"/>
      <c r="C827" s="186"/>
    </row>
    <row r="828" ht="15.75" customHeight="1">
      <c r="A828" s="146"/>
      <c r="B828" s="146"/>
      <c r="C828" s="186"/>
    </row>
    <row r="829" ht="15.75" customHeight="1">
      <c r="A829" s="146"/>
      <c r="B829" s="146"/>
      <c r="C829" s="186"/>
    </row>
    <row r="830" ht="15.75" customHeight="1">
      <c r="A830" s="146"/>
      <c r="B830" s="146"/>
      <c r="C830" s="186"/>
    </row>
    <row r="831" ht="15.75" customHeight="1">
      <c r="A831" s="146"/>
      <c r="B831" s="146"/>
      <c r="C831" s="186"/>
    </row>
    <row r="832" ht="15.75" customHeight="1">
      <c r="A832" s="146"/>
      <c r="B832" s="146"/>
      <c r="C832" s="186"/>
    </row>
    <row r="833" ht="15.75" customHeight="1">
      <c r="A833" s="146"/>
      <c r="B833" s="146"/>
      <c r="C833" s="186"/>
    </row>
    <row r="834" ht="15.75" customHeight="1">
      <c r="A834" s="146"/>
      <c r="B834" s="146"/>
      <c r="C834" s="186"/>
    </row>
    <row r="835" ht="15.75" customHeight="1">
      <c r="A835" s="146"/>
      <c r="B835" s="146"/>
      <c r="C835" s="186"/>
    </row>
    <row r="836" ht="15.75" customHeight="1">
      <c r="A836" s="146"/>
      <c r="B836" s="146"/>
      <c r="C836" s="186"/>
    </row>
    <row r="837" ht="15.75" customHeight="1">
      <c r="A837" s="146"/>
      <c r="B837" s="146"/>
      <c r="C837" s="186"/>
    </row>
    <row r="838" ht="15.75" customHeight="1">
      <c r="A838" s="146"/>
      <c r="B838" s="146"/>
      <c r="C838" s="186"/>
    </row>
    <row r="839" ht="15.75" customHeight="1">
      <c r="A839" s="146"/>
      <c r="B839" s="146"/>
      <c r="C839" s="186"/>
    </row>
    <row r="840" ht="15.75" customHeight="1">
      <c r="A840" s="146"/>
      <c r="B840" s="146"/>
      <c r="C840" s="186"/>
    </row>
    <row r="841" ht="15.75" customHeight="1">
      <c r="A841" s="146"/>
      <c r="B841" s="146"/>
      <c r="C841" s="186"/>
    </row>
    <row r="842" ht="15.75" customHeight="1">
      <c r="A842" s="146"/>
      <c r="B842" s="146"/>
      <c r="C842" s="186"/>
    </row>
    <row r="843" ht="15.75" customHeight="1">
      <c r="A843" s="146"/>
      <c r="B843" s="146"/>
      <c r="C843" s="186"/>
    </row>
    <row r="844" ht="15.75" customHeight="1">
      <c r="A844" s="146"/>
      <c r="B844" s="146"/>
      <c r="C844" s="186"/>
    </row>
    <row r="845" ht="15.75" customHeight="1">
      <c r="A845" s="146"/>
      <c r="B845" s="146"/>
      <c r="C845" s="186"/>
    </row>
    <row r="846" ht="15.75" customHeight="1">
      <c r="A846" s="146"/>
      <c r="B846" s="146"/>
      <c r="C846" s="186"/>
    </row>
    <row r="847" ht="15.75" customHeight="1">
      <c r="A847" s="146"/>
      <c r="B847" s="146"/>
      <c r="C847" s="186"/>
    </row>
    <row r="848" ht="15.75" customHeight="1">
      <c r="A848" s="146"/>
      <c r="B848" s="146"/>
      <c r="C848" s="186"/>
    </row>
    <row r="849" ht="15.75" customHeight="1">
      <c r="A849" s="146"/>
      <c r="B849" s="146"/>
      <c r="C849" s="186"/>
    </row>
    <row r="850" ht="15.75" customHeight="1">
      <c r="A850" s="146"/>
      <c r="B850" s="146"/>
      <c r="C850" s="186"/>
    </row>
    <row r="851" ht="15.75" customHeight="1">
      <c r="A851" s="146"/>
      <c r="B851" s="146"/>
      <c r="C851" s="186"/>
    </row>
    <row r="852" ht="15.75" customHeight="1">
      <c r="A852" s="146"/>
      <c r="B852" s="146"/>
      <c r="C852" s="186"/>
    </row>
    <row r="853" ht="15.75" customHeight="1">
      <c r="A853" s="146"/>
      <c r="B853" s="146"/>
      <c r="C853" s="186"/>
    </row>
    <row r="854" ht="15.75" customHeight="1">
      <c r="A854" s="146"/>
      <c r="B854" s="146"/>
      <c r="C854" s="186"/>
    </row>
    <row r="855" ht="15.75" customHeight="1">
      <c r="A855" s="146"/>
      <c r="B855" s="146"/>
      <c r="C855" s="186"/>
    </row>
    <row r="856" ht="15.75" customHeight="1">
      <c r="A856" s="146"/>
      <c r="B856" s="146"/>
      <c r="C856" s="186"/>
    </row>
    <row r="857" ht="15.75" customHeight="1">
      <c r="A857" s="146"/>
      <c r="B857" s="146"/>
      <c r="C857" s="186"/>
    </row>
    <row r="858" ht="15.75" customHeight="1">
      <c r="A858" s="146"/>
      <c r="B858" s="146"/>
      <c r="C858" s="186"/>
    </row>
    <row r="859" ht="15.75" customHeight="1">
      <c r="A859" s="146"/>
      <c r="B859" s="146"/>
      <c r="C859" s="186"/>
    </row>
    <row r="860" ht="15.75" customHeight="1">
      <c r="A860" s="146"/>
      <c r="B860" s="146"/>
      <c r="C860" s="186"/>
    </row>
    <row r="861" ht="15.75" customHeight="1">
      <c r="A861" s="146"/>
      <c r="B861" s="146"/>
      <c r="C861" s="186"/>
    </row>
    <row r="862" ht="15.75" customHeight="1">
      <c r="A862" s="146"/>
      <c r="B862" s="146"/>
      <c r="C862" s="186"/>
    </row>
    <row r="863" ht="15.75" customHeight="1">
      <c r="A863" s="146"/>
      <c r="B863" s="146"/>
      <c r="C863" s="186"/>
    </row>
    <row r="864" ht="15.75" customHeight="1">
      <c r="A864" s="146"/>
      <c r="B864" s="146"/>
      <c r="C864" s="186"/>
    </row>
    <row r="865" ht="15.75" customHeight="1">
      <c r="A865" s="146"/>
      <c r="B865" s="146"/>
      <c r="C865" s="186"/>
    </row>
    <row r="866" ht="15.75" customHeight="1">
      <c r="A866" s="146"/>
      <c r="B866" s="146"/>
      <c r="C866" s="186"/>
    </row>
    <row r="867" ht="15.75" customHeight="1">
      <c r="A867" s="146"/>
      <c r="B867" s="146"/>
      <c r="C867" s="186"/>
    </row>
    <row r="868" ht="15.75" customHeight="1">
      <c r="A868" s="146"/>
      <c r="B868" s="146"/>
      <c r="C868" s="186"/>
    </row>
    <row r="869" ht="15.75" customHeight="1">
      <c r="A869" s="146"/>
      <c r="B869" s="146"/>
      <c r="C869" s="186"/>
    </row>
    <row r="870" ht="15.75" customHeight="1">
      <c r="A870" s="146"/>
      <c r="B870" s="146"/>
      <c r="C870" s="186"/>
    </row>
    <row r="871" ht="15.75" customHeight="1">
      <c r="A871" s="146"/>
      <c r="B871" s="146"/>
      <c r="C871" s="186"/>
    </row>
    <row r="872" ht="15.75" customHeight="1">
      <c r="A872" s="146"/>
      <c r="B872" s="146"/>
      <c r="C872" s="186"/>
    </row>
    <row r="873" ht="15.75" customHeight="1">
      <c r="A873" s="146"/>
      <c r="B873" s="146"/>
      <c r="C873" s="186"/>
    </row>
    <row r="874" ht="15.75" customHeight="1">
      <c r="A874" s="146"/>
      <c r="B874" s="146"/>
      <c r="C874" s="186"/>
    </row>
    <row r="875" ht="15.75" customHeight="1">
      <c r="A875" s="146"/>
      <c r="B875" s="146"/>
      <c r="C875" s="186"/>
    </row>
    <row r="876" ht="15.75" customHeight="1">
      <c r="A876" s="146"/>
      <c r="B876" s="146"/>
      <c r="C876" s="186"/>
    </row>
    <row r="877" ht="15.75" customHeight="1">
      <c r="A877" s="146"/>
      <c r="B877" s="146"/>
      <c r="C877" s="186"/>
    </row>
    <row r="878" ht="15.75" customHeight="1">
      <c r="A878" s="146"/>
      <c r="B878" s="146"/>
      <c r="C878" s="186"/>
    </row>
    <row r="879" ht="15.75" customHeight="1">
      <c r="A879" s="146"/>
      <c r="B879" s="146"/>
      <c r="C879" s="186"/>
    </row>
    <row r="880" ht="15.75" customHeight="1">
      <c r="A880" s="146"/>
      <c r="B880" s="146"/>
      <c r="C880" s="186"/>
    </row>
    <row r="881" ht="15.75" customHeight="1">
      <c r="A881" s="146"/>
      <c r="B881" s="146"/>
      <c r="C881" s="186"/>
    </row>
    <row r="882" ht="15.75" customHeight="1">
      <c r="A882" s="146"/>
      <c r="B882" s="146"/>
      <c r="C882" s="186"/>
    </row>
    <row r="883" ht="15.75" customHeight="1">
      <c r="A883" s="146"/>
      <c r="B883" s="146"/>
      <c r="C883" s="186"/>
    </row>
    <row r="884" ht="15.75" customHeight="1">
      <c r="A884" s="146"/>
      <c r="B884" s="146"/>
      <c r="C884" s="186"/>
    </row>
    <row r="885" ht="15.75" customHeight="1">
      <c r="A885" s="146"/>
      <c r="B885" s="146"/>
      <c r="C885" s="186"/>
    </row>
    <row r="886" ht="15.75" customHeight="1">
      <c r="A886" s="146"/>
      <c r="B886" s="146"/>
      <c r="C886" s="186"/>
    </row>
    <row r="887" ht="15.75" customHeight="1">
      <c r="A887" s="146"/>
      <c r="B887" s="146"/>
      <c r="C887" s="186"/>
    </row>
    <row r="888" ht="15.75" customHeight="1">
      <c r="A888" s="146"/>
      <c r="B888" s="146"/>
      <c r="C888" s="186"/>
    </row>
    <row r="889" ht="15.75" customHeight="1">
      <c r="A889" s="146"/>
      <c r="B889" s="146"/>
      <c r="C889" s="186"/>
    </row>
    <row r="890" ht="15.75" customHeight="1">
      <c r="A890" s="146"/>
      <c r="B890" s="146"/>
      <c r="C890" s="186"/>
    </row>
    <row r="891" ht="15.75" customHeight="1">
      <c r="A891" s="146"/>
      <c r="B891" s="146"/>
      <c r="C891" s="186"/>
    </row>
    <row r="892" ht="15.75" customHeight="1">
      <c r="A892" s="146"/>
      <c r="B892" s="146"/>
      <c r="C892" s="186"/>
    </row>
    <row r="893" ht="15.75" customHeight="1">
      <c r="A893" s="146"/>
      <c r="B893" s="146"/>
      <c r="C893" s="186"/>
    </row>
    <row r="894" ht="15.75" customHeight="1">
      <c r="A894" s="146"/>
      <c r="B894" s="146"/>
      <c r="C894" s="186"/>
    </row>
    <row r="895" ht="15.75" customHeight="1">
      <c r="A895" s="146"/>
      <c r="B895" s="146"/>
      <c r="C895" s="186"/>
    </row>
    <row r="896" ht="15.75" customHeight="1">
      <c r="A896" s="146"/>
      <c r="B896" s="146"/>
      <c r="C896" s="186"/>
    </row>
    <row r="897" ht="15.75" customHeight="1">
      <c r="A897" s="146"/>
      <c r="B897" s="146"/>
      <c r="C897" s="186"/>
    </row>
    <row r="898" ht="15.75" customHeight="1">
      <c r="A898" s="146"/>
      <c r="B898" s="146"/>
      <c r="C898" s="186"/>
    </row>
    <row r="899" ht="15.75" customHeight="1">
      <c r="A899" s="146"/>
      <c r="B899" s="146"/>
      <c r="C899" s="186"/>
    </row>
    <row r="900" ht="15.75" customHeight="1">
      <c r="A900" s="146"/>
      <c r="B900" s="146"/>
      <c r="C900" s="186"/>
    </row>
    <row r="901" ht="15.75" customHeight="1">
      <c r="A901" s="146"/>
      <c r="B901" s="146"/>
      <c r="C901" s="186"/>
    </row>
    <row r="902" ht="15.75" customHeight="1">
      <c r="A902" s="146"/>
      <c r="B902" s="146"/>
      <c r="C902" s="186"/>
    </row>
    <row r="903" ht="15.75" customHeight="1">
      <c r="A903" s="146"/>
      <c r="B903" s="146"/>
      <c r="C903" s="186"/>
    </row>
    <row r="904" ht="15.75" customHeight="1">
      <c r="A904" s="146"/>
      <c r="B904" s="146"/>
      <c r="C904" s="186"/>
    </row>
    <row r="905" ht="15.75" customHeight="1">
      <c r="A905" s="146"/>
      <c r="B905" s="146"/>
      <c r="C905" s="186"/>
    </row>
    <row r="906" ht="15.75" customHeight="1">
      <c r="A906" s="146"/>
      <c r="B906" s="146"/>
      <c r="C906" s="186"/>
    </row>
    <row r="907" ht="15.75" customHeight="1">
      <c r="A907" s="146"/>
      <c r="B907" s="146"/>
      <c r="C907" s="186"/>
    </row>
    <row r="908" ht="15.75" customHeight="1">
      <c r="A908" s="146"/>
      <c r="B908" s="146"/>
      <c r="C908" s="186"/>
    </row>
    <row r="909" ht="15.75" customHeight="1">
      <c r="A909" s="146"/>
      <c r="B909" s="146"/>
      <c r="C909" s="186"/>
    </row>
    <row r="910" ht="15.75" customHeight="1">
      <c r="A910" s="146"/>
      <c r="B910" s="146"/>
      <c r="C910" s="186"/>
    </row>
    <row r="911" ht="15.75" customHeight="1">
      <c r="A911" s="146"/>
      <c r="B911" s="146"/>
      <c r="C911" s="186"/>
    </row>
    <row r="912" ht="15.75" customHeight="1">
      <c r="A912" s="146"/>
      <c r="B912" s="146"/>
      <c r="C912" s="186"/>
    </row>
    <row r="913" ht="15.75" customHeight="1">
      <c r="A913" s="146"/>
      <c r="B913" s="146"/>
      <c r="C913" s="186"/>
    </row>
    <row r="914" ht="15.75" customHeight="1">
      <c r="A914" s="146"/>
      <c r="B914" s="146"/>
      <c r="C914" s="186"/>
    </row>
    <row r="915" ht="15.75" customHeight="1">
      <c r="A915" s="146"/>
      <c r="B915" s="146"/>
      <c r="C915" s="186"/>
    </row>
    <row r="916" ht="15.75" customHeight="1">
      <c r="A916" s="146"/>
      <c r="B916" s="146"/>
      <c r="C916" s="186"/>
    </row>
    <row r="917" ht="15.75" customHeight="1">
      <c r="A917" s="146"/>
      <c r="B917" s="146"/>
      <c r="C917" s="186"/>
    </row>
    <row r="918" ht="15.75" customHeight="1">
      <c r="A918" s="146"/>
      <c r="B918" s="146"/>
      <c r="C918" s="186"/>
    </row>
    <row r="919" ht="15.75" customHeight="1">
      <c r="A919" s="146"/>
      <c r="B919" s="146"/>
      <c r="C919" s="186"/>
    </row>
    <row r="920" ht="15.75" customHeight="1">
      <c r="A920" s="146"/>
      <c r="B920" s="146"/>
      <c r="C920" s="186"/>
    </row>
    <row r="921" ht="15.75" customHeight="1">
      <c r="A921" s="146"/>
      <c r="B921" s="146"/>
      <c r="C921" s="186"/>
    </row>
    <row r="922" ht="15.75" customHeight="1">
      <c r="A922" s="146"/>
      <c r="B922" s="146"/>
      <c r="C922" s="186"/>
    </row>
    <row r="923" ht="15.75" customHeight="1">
      <c r="A923" s="146"/>
      <c r="B923" s="146"/>
      <c r="C923" s="186"/>
    </row>
    <row r="924" ht="15.75" customHeight="1">
      <c r="A924" s="146"/>
      <c r="B924" s="146"/>
      <c r="C924" s="186"/>
    </row>
    <row r="925" ht="15.75" customHeight="1">
      <c r="A925" s="146"/>
      <c r="B925" s="146"/>
      <c r="C925" s="186"/>
    </row>
    <row r="926" ht="15.75" customHeight="1">
      <c r="A926" s="146"/>
      <c r="B926" s="146"/>
      <c r="C926" s="186"/>
    </row>
    <row r="927" ht="15.75" customHeight="1">
      <c r="A927" s="146"/>
      <c r="B927" s="146"/>
      <c r="C927" s="186"/>
    </row>
    <row r="928" ht="15.75" customHeight="1">
      <c r="A928" s="146"/>
      <c r="B928" s="146"/>
      <c r="C928" s="186"/>
    </row>
    <row r="929" ht="15.75" customHeight="1">
      <c r="A929" s="146"/>
      <c r="B929" s="146"/>
      <c r="C929" s="186"/>
    </row>
    <row r="930" ht="15.75" customHeight="1">
      <c r="A930" s="146"/>
      <c r="B930" s="146"/>
      <c r="C930" s="186"/>
    </row>
    <row r="931" ht="15.75" customHeight="1">
      <c r="A931" s="146"/>
      <c r="B931" s="146"/>
      <c r="C931" s="186"/>
    </row>
    <row r="932" ht="15.75" customHeight="1">
      <c r="A932" s="146"/>
      <c r="B932" s="146"/>
      <c r="C932" s="186"/>
    </row>
    <row r="933" ht="15.75" customHeight="1">
      <c r="A933" s="146"/>
      <c r="B933" s="146"/>
      <c r="C933" s="186"/>
    </row>
    <row r="934" ht="15.75" customHeight="1">
      <c r="A934" s="146"/>
      <c r="B934" s="146"/>
      <c r="C934" s="186"/>
    </row>
    <row r="935" ht="15.75" customHeight="1">
      <c r="A935" s="146"/>
      <c r="B935" s="146"/>
      <c r="C935" s="186"/>
    </row>
    <row r="936" ht="15.75" customHeight="1">
      <c r="A936" s="146"/>
      <c r="B936" s="146"/>
      <c r="C936" s="186"/>
    </row>
    <row r="937" ht="15.75" customHeight="1">
      <c r="A937" s="146"/>
      <c r="B937" s="146"/>
      <c r="C937" s="186"/>
    </row>
    <row r="938" ht="15.75" customHeight="1">
      <c r="A938" s="146"/>
      <c r="B938" s="146"/>
      <c r="C938" s="186"/>
    </row>
    <row r="939" ht="15.75" customHeight="1">
      <c r="A939" s="146"/>
      <c r="B939" s="146"/>
      <c r="C939" s="186"/>
    </row>
    <row r="940" ht="15.75" customHeight="1">
      <c r="A940" s="146"/>
      <c r="B940" s="146"/>
      <c r="C940" s="186"/>
    </row>
    <row r="941" ht="15.75" customHeight="1">
      <c r="A941" s="146"/>
      <c r="B941" s="146"/>
      <c r="C941" s="186"/>
    </row>
    <row r="942" ht="15.75" customHeight="1">
      <c r="A942" s="146"/>
      <c r="B942" s="146"/>
      <c r="C942" s="186"/>
    </row>
    <row r="943" ht="15.75" customHeight="1">
      <c r="A943" s="146"/>
      <c r="B943" s="146"/>
      <c r="C943" s="186"/>
    </row>
    <row r="944" ht="15.75" customHeight="1">
      <c r="A944" s="146"/>
      <c r="B944" s="146"/>
      <c r="C944" s="186"/>
    </row>
    <row r="945" ht="15.75" customHeight="1">
      <c r="A945" s="146"/>
      <c r="B945" s="146"/>
      <c r="C945" s="186"/>
    </row>
    <row r="946" ht="15.75" customHeight="1">
      <c r="A946" s="146"/>
      <c r="B946" s="146"/>
      <c r="C946" s="186"/>
    </row>
    <row r="947" ht="15.75" customHeight="1">
      <c r="A947" s="146"/>
      <c r="B947" s="146"/>
      <c r="C947" s="186"/>
    </row>
    <row r="948" ht="15.75" customHeight="1">
      <c r="A948" s="146"/>
      <c r="B948" s="146"/>
      <c r="C948" s="186"/>
    </row>
    <row r="949" ht="15.75" customHeight="1">
      <c r="A949" s="146"/>
      <c r="B949" s="146"/>
      <c r="C949" s="186"/>
    </row>
    <row r="950" ht="15.75" customHeight="1">
      <c r="A950" s="146"/>
      <c r="B950" s="146"/>
      <c r="C950" s="186"/>
    </row>
    <row r="951" ht="15.75" customHeight="1">
      <c r="A951" s="146"/>
      <c r="B951" s="146"/>
      <c r="C951" s="186"/>
    </row>
    <row r="952" ht="15.75" customHeight="1">
      <c r="A952" s="146"/>
      <c r="B952" s="146"/>
      <c r="C952" s="186"/>
    </row>
    <row r="953" ht="15.75" customHeight="1">
      <c r="A953" s="146"/>
      <c r="B953" s="146"/>
      <c r="C953" s="186"/>
    </row>
    <row r="954" ht="15.75" customHeight="1">
      <c r="A954" s="146"/>
      <c r="B954" s="146"/>
      <c r="C954" s="186"/>
    </row>
    <row r="955" ht="15.75" customHeight="1">
      <c r="A955" s="146"/>
      <c r="B955" s="146"/>
      <c r="C955" s="186"/>
    </row>
    <row r="956" ht="15.75" customHeight="1">
      <c r="A956" s="146"/>
      <c r="B956" s="146"/>
      <c r="C956" s="186"/>
    </row>
    <row r="957" ht="15.75" customHeight="1">
      <c r="A957" s="146"/>
      <c r="B957" s="146"/>
      <c r="C957" s="186"/>
    </row>
    <row r="958" ht="15.75" customHeight="1">
      <c r="A958" s="146"/>
      <c r="B958" s="146"/>
      <c r="C958" s="186"/>
    </row>
    <row r="959" ht="15.75" customHeight="1">
      <c r="A959" s="146"/>
      <c r="B959" s="146"/>
      <c r="C959" s="186"/>
    </row>
    <row r="960" ht="15.75" customHeight="1">
      <c r="A960" s="146"/>
      <c r="B960" s="146"/>
      <c r="C960" s="186"/>
    </row>
    <row r="961" ht="15.75" customHeight="1">
      <c r="A961" s="146"/>
      <c r="B961" s="146"/>
      <c r="C961" s="186"/>
    </row>
    <row r="962" ht="15.75" customHeight="1">
      <c r="A962" s="146"/>
      <c r="B962" s="146"/>
      <c r="C962" s="186"/>
    </row>
    <row r="963" ht="15.75" customHeight="1">
      <c r="A963" s="146"/>
      <c r="B963" s="146"/>
      <c r="C963" s="186"/>
    </row>
    <row r="964" ht="15.75" customHeight="1">
      <c r="A964" s="146"/>
      <c r="B964" s="146"/>
      <c r="C964" s="186"/>
    </row>
    <row r="965" ht="15.75" customHeight="1">
      <c r="A965" s="146"/>
      <c r="B965" s="146"/>
      <c r="C965" s="186"/>
    </row>
    <row r="966" ht="15.75" customHeight="1">
      <c r="A966" s="146"/>
      <c r="B966" s="146"/>
      <c r="C966" s="186"/>
    </row>
    <row r="967" ht="15.75" customHeight="1">
      <c r="A967" s="146"/>
      <c r="B967" s="146"/>
      <c r="C967" s="186"/>
    </row>
    <row r="968" ht="15.75" customHeight="1">
      <c r="A968" s="146"/>
      <c r="B968" s="146"/>
      <c r="C968" s="186"/>
    </row>
    <row r="969" ht="15.75" customHeight="1">
      <c r="A969" s="146"/>
      <c r="B969" s="146"/>
      <c r="C969" s="186"/>
    </row>
    <row r="970" ht="15.75" customHeight="1">
      <c r="A970" s="146"/>
      <c r="B970" s="146"/>
      <c r="C970" s="186"/>
    </row>
    <row r="971" ht="15.75" customHeight="1">
      <c r="A971" s="146"/>
      <c r="B971" s="146"/>
      <c r="C971" s="186"/>
    </row>
    <row r="972" ht="15.75" customHeight="1">
      <c r="A972" s="146"/>
      <c r="B972" s="146"/>
      <c r="C972" s="186"/>
    </row>
    <row r="973" ht="15.75" customHeight="1">
      <c r="A973" s="146"/>
      <c r="B973" s="146"/>
      <c r="C973" s="186"/>
    </row>
    <row r="974" ht="15.75" customHeight="1">
      <c r="A974" s="146"/>
      <c r="B974" s="146"/>
      <c r="C974" s="186"/>
    </row>
    <row r="975" ht="15.75" customHeight="1">
      <c r="A975" s="146"/>
      <c r="B975" s="146"/>
      <c r="C975" s="186"/>
    </row>
    <row r="976" ht="15.75" customHeight="1">
      <c r="A976" s="146"/>
      <c r="B976" s="146"/>
      <c r="C976" s="186"/>
    </row>
    <row r="977" ht="15.75" customHeight="1">
      <c r="A977" s="146"/>
      <c r="B977" s="146"/>
      <c r="C977" s="186"/>
    </row>
    <row r="978" ht="15.75" customHeight="1">
      <c r="A978" s="146"/>
      <c r="B978" s="146"/>
      <c r="C978" s="186"/>
    </row>
    <row r="979" ht="15.75" customHeight="1">
      <c r="A979" s="146"/>
      <c r="B979" s="146"/>
      <c r="C979" s="186"/>
    </row>
    <row r="980" ht="15.75" customHeight="1">
      <c r="A980" s="146"/>
      <c r="B980" s="146"/>
      <c r="C980" s="186"/>
    </row>
    <row r="981" ht="15.75" customHeight="1">
      <c r="A981" s="146"/>
      <c r="B981" s="146"/>
      <c r="C981" s="186"/>
    </row>
    <row r="982" ht="15.75" customHeight="1">
      <c r="A982" s="146"/>
      <c r="B982" s="146"/>
      <c r="C982" s="186"/>
    </row>
    <row r="983" ht="15.75" customHeight="1">
      <c r="A983" s="146"/>
      <c r="B983" s="146"/>
      <c r="C983" s="186"/>
    </row>
    <row r="984" ht="15.75" customHeight="1">
      <c r="A984" s="146"/>
      <c r="B984" s="146"/>
      <c r="C984" s="186"/>
    </row>
    <row r="985" ht="15.75" customHeight="1">
      <c r="A985" s="146"/>
      <c r="B985" s="146"/>
      <c r="C985" s="186"/>
    </row>
    <row r="986" ht="15.75" customHeight="1">
      <c r="A986" s="146"/>
      <c r="B986" s="146"/>
      <c r="C986" s="186"/>
    </row>
    <row r="987" ht="15.75" customHeight="1">
      <c r="A987" s="146"/>
      <c r="B987" s="146"/>
      <c r="C987" s="186"/>
    </row>
    <row r="988" ht="15.75" customHeight="1">
      <c r="A988" s="146"/>
      <c r="B988" s="146"/>
      <c r="C988" s="186"/>
    </row>
    <row r="989" ht="15.75" customHeight="1">
      <c r="A989" s="146"/>
      <c r="B989" s="146"/>
      <c r="C989" s="186"/>
    </row>
    <row r="990" ht="15.75" customHeight="1">
      <c r="A990" s="146"/>
      <c r="B990" s="146"/>
      <c r="C990" s="186"/>
    </row>
    <row r="991" ht="15.75" customHeight="1">
      <c r="A991" s="146"/>
      <c r="B991" s="146"/>
      <c r="C991" s="186"/>
    </row>
    <row r="992" ht="15.75" customHeight="1">
      <c r="A992" s="146"/>
      <c r="B992" s="146"/>
      <c r="C992" s="186"/>
    </row>
    <row r="993" ht="15.75" customHeight="1">
      <c r="A993" s="146"/>
      <c r="B993" s="146"/>
      <c r="C993" s="186"/>
    </row>
    <row r="994" ht="15.75" customHeight="1">
      <c r="A994" s="146"/>
      <c r="B994" s="146"/>
      <c r="C994" s="186"/>
    </row>
    <row r="995" ht="15.75" customHeight="1">
      <c r="A995" s="146"/>
      <c r="B995" s="146"/>
      <c r="C995" s="186"/>
    </row>
    <row r="996" ht="15.75" customHeight="1">
      <c r="A996" s="146"/>
      <c r="B996" s="146"/>
      <c r="C996" s="186"/>
    </row>
    <row r="997" ht="15.75" customHeight="1">
      <c r="A997" s="146"/>
      <c r="B997" s="146"/>
      <c r="C997" s="186"/>
    </row>
    <row r="998" ht="15.75" customHeight="1">
      <c r="A998" s="146"/>
      <c r="B998" s="146"/>
      <c r="C998" s="186"/>
    </row>
    <row r="999" ht="15.75" customHeight="1">
      <c r="A999" s="146"/>
      <c r="B999" s="146"/>
      <c r="C999" s="186"/>
    </row>
    <row r="1000" ht="15.75" customHeight="1">
      <c r="A1000" s="146"/>
      <c r="B1000" s="146"/>
      <c r="C1000" s="186"/>
    </row>
  </sheetData>
  <mergeCells count="2">
    <mergeCell ref="B1:D1"/>
    <mergeCell ref="A301:C301"/>
  </mergeCells>
  <hyperlinks>
    <hyperlink r:id="rId1" ref="B1"/>
    <hyperlink r:id="rId2" ref="A106"/>
    <hyperlink r:id="rId3" ref="A143"/>
    <hyperlink r:id="rId4" ref="A151"/>
    <hyperlink r:id="rId5" ref="A203"/>
  </hyperlinks>
  <printOptions/>
  <pageMargins bottom="0.75" footer="0.0" header="0.0" left="0.7" right="0.7" top="0.75"/>
  <pageSetup orientation="landscape"/>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35.63"/>
    <col customWidth="1" min="2" max="2" width="31.88"/>
    <col customWidth="1" hidden="1" min="3" max="3" width="14.75"/>
    <col customWidth="1" hidden="1" min="4" max="4" width="28.5"/>
    <col customWidth="1" hidden="1" min="5" max="5" width="20.25"/>
    <col customWidth="1" min="6" max="6" width="20.75"/>
    <col customWidth="1" min="7" max="7" width="27.13"/>
    <col customWidth="1" min="8" max="8" width="44.25"/>
    <col customWidth="1" min="9" max="9" width="14.75"/>
  </cols>
  <sheetData>
    <row r="1" ht="15.75" customHeight="1">
      <c r="A1" s="191" t="s">
        <v>723</v>
      </c>
      <c r="B1" s="192"/>
      <c r="D1" s="193"/>
      <c r="E1" s="193"/>
      <c r="F1" s="193"/>
      <c r="G1" s="193"/>
      <c r="H1" s="193"/>
      <c r="I1" s="193"/>
    </row>
    <row r="2" ht="15.75" customHeight="1">
      <c r="A2" s="193" t="s">
        <v>724</v>
      </c>
      <c r="B2" s="193"/>
      <c r="C2" s="64"/>
      <c r="D2" s="64"/>
      <c r="E2" s="64"/>
      <c r="F2" s="64"/>
      <c r="G2" s="64"/>
      <c r="H2" s="64"/>
      <c r="I2" s="64"/>
    </row>
    <row r="3" ht="85.5" customHeight="1">
      <c r="A3" s="194" t="s">
        <v>725</v>
      </c>
      <c r="D3" s="195"/>
      <c r="E3" s="196"/>
      <c r="F3" s="64"/>
      <c r="G3" s="64"/>
      <c r="H3" s="64"/>
      <c r="I3" s="64"/>
    </row>
    <row r="4" ht="15.0" customHeight="1">
      <c r="A4" s="193"/>
      <c r="B4" s="193"/>
      <c r="C4" s="193"/>
      <c r="D4" s="193"/>
      <c r="E4" s="193"/>
      <c r="F4" s="193"/>
      <c r="G4" s="193"/>
      <c r="H4" s="193"/>
      <c r="I4" s="193"/>
    </row>
    <row r="5" ht="15.75" customHeight="1">
      <c r="A5" s="191" t="s">
        <v>726</v>
      </c>
      <c r="B5" s="191"/>
      <c r="C5" s="193"/>
      <c r="D5" s="193"/>
      <c r="E5" s="193"/>
      <c r="F5" s="193"/>
      <c r="G5" s="193"/>
      <c r="H5" s="197"/>
      <c r="I5" s="197"/>
    </row>
    <row r="6" ht="15.75" customHeight="1">
      <c r="A6" s="198" t="s">
        <v>727</v>
      </c>
      <c r="B6" s="199"/>
      <c r="C6" s="193"/>
      <c r="D6" s="193"/>
      <c r="E6" s="193"/>
      <c r="F6" s="193"/>
      <c r="G6" s="200"/>
      <c r="H6" s="201"/>
      <c r="I6" s="201"/>
    </row>
    <row r="7" ht="15.75" customHeight="1">
      <c r="A7" s="198" t="s">
        <v>728</v>
      </c>
      <c r="B7" s="199"/>
      <c r="C7" s="193"/>
      <c r="D7" s="193"/>
      <c r="E7" s="193"/>
      <c r="F7" s="193"/>
      <c r="G7" s="200"/>
      <c r="H7" s="201"/>
      <c r="I7" s="201"/>
    </row>
    <row r="8" ht="15.75" customHeight="1">
      <c r="A8" s="198" t="s">
        <v>729</v>
      </c>
      <c r="B8" s="199"/>
      <c r="C8" s="193"/>
      <c r="D8" s="193"/>
      <c r="E8" s="193"/>
      <c r="F8" s="193"/>
      <c r="G8" s="200"/>
      <c r="H8" s="202"/>
      <c r="I8" s="201"/>
    </row>
    <row r="9" ht="15.0" customHeight="1">
      <c r="A9" s="193"/>
      <c r="B9" s="193"/>
      <c r="C9" s="193"/>
      <c r="D9" s="193"/>
      <c r="E9" s="193"/>
      <c r="F9" s="193"/>
      <c r="G9" s="200"/>
      <c r="H9" s="203"/>
      <c r="I9" s="203"/>
    </row>
    <row r="10" ht="15.0" customHeight="1">
      <c r="A10" s="193"/>
      <c r="B10" s="193"/>
      <c r="C10" s="193"/>
      <c r="D10" s="193"/>
      <c r="E10" s="193"/>
      <c r="F10" s="193"/>
      <c r="G10" s="200"/>
      <c r="H10" s="201"/>
      <c r="I10" s="201"/>
    </row>
    <row r="11" ht="15.0" customHeight="1">
      <c r="A11" s="204"/>
      <c r="B11" s="204"/>
      <c r="C11" s="204"/>
      <c r="D11" s="204"/>
      <c r="E11" s="204"/>
      <c r="F11" s="204"/>
      <c r="G11" s="204"/>
      <c r="H11" s="204"/>
      <c r="I11" s="193"/>
    </row>
    <row r="12">
      <c r="A12" s="193"/>
      <c r="B12" s="193"/>
      <c r="C12" s="193"/>
      <c r="D12" s="193"/>
      <c r="E12" s="193"/>
      <c r="F12" s="193"/>
      <c r="G12" s="193"/>
      <c r="H12" s="193"/>
      <c r="I12" s="193"/>
    </row>
    <row r="13" ht="27.0" customHeight="1">
      <c r="A13" s="205" t="s">
        <v>730</v>
      </c>
      <c r="B13" s="206" t="s">
        <v>731</v>
      </c>
      <c r="C13" s="206" t="s">
        <v>732</v>
      </c>
      <c r="D13" s="206" t="s">
        <v>733</v>
      </c>
      <c r="E13" s="206" t="s">
        <v>734</v>
      </c>
      <c r="F13" s="206" t="s">
        <v>735</v>
      </c>
      <c r="G13" s="197"/>
    </row>
    <row r="14" ht="21.75" customHeight="1">
      <c r="A14" s="205" t="s">
        <v>736</v>
      </c>
      <c r="B14" s="207">
        <v>336000.0</v>
      </c>
      <c r="C14" s="208">
        <v>0.3</v>
      </c>
      <c r="D14" s="209">
        <f>28000*0.7</f>
        <v>19600</v>
      </c>
      <c r="E14" s="209">
        <f t="shared" ref="E14:E16" si="1">D14*12</f>
        <v>235200</v>
      </c>
      <c r="F14" s="209">
        <f t="shared" ref="F14:F16" si="2">E14*(0.7)</f>
        <v>164640</v>
      </c>
      <c r="G14" s="210"/>
    </row>
    <row r="15" ht="18.75" customHeight="1">
      <c r="A15" s="205" t="s">
        <v>737</v>
      </c>
      <c r="B15" s="207">
        <v>201600.0</v>
      </c>
      <c r="C15" s="208">
        <v>0.5</v>
      </c>
      <c r="D15" s="209">
        <f>24000*0.35</f>
        <v>8400</v>
      </c>
      <c r="E15" s="209">
        <f t="shared" si="1"/>
        <v>100800</v>
      </c>
      <c r="F15" s="209">
        <f t="shared" si="2"/>
        <v>70560</v>
      </c>
      <c r="G15" s="210"/>
    </row>
    <row r="16" ht="18.75" customHeight="1">
      <c r="A16" s="205" t="s">
        <v>738</v>
      </c>
      <c r="B16" s="211">
        <v>84000.0</v>
      </c>
      <c r="C16" s="212">
        <v>0.5</v>
      </c>
      <c r="D16" s="213">
        <f>35000*0.1</f>
        <v>3500</v>
      </c>
      <c r="E16" s="209">
        <f t="shared" si="1"/>
        <v>42000</v>
      </c>
      <c r="F16" s="209">
        <f t="shared" si="2"/>
        <v>29400</v>
      </c>
      <c r="G16" s="210"/>
    </row>
    <row r="17" ht="15.75" customHeight="1">
      <c r="A17" s="214" t="s">
        <v>739</v>
      </c>
      <c r="B17" s="215">
        <f>SUM(B14:B16)</f>
        <v>621600</v>
      </c>
      <c r="C17" s="216">
        <v>0.4314</v>
      </c>
      <c r="D17" s="215" t="str">
        <f>SUM(D14:D18)</f>
        <v>#REF!</v>
      </c>
      <c r="E17" s="215">
        <f t="shared" ref="E17:F17" si="3">SUM(E14:E16)</f>
        <v>378000</v>
      </c>
      <c r="F17" s="217">
        <f t="shared" si="3"/>
        <v>264600</v>
      </c>
      <c r="G17" s="218"/>
    </row>
    <row r="18" ht="15.0" customHeight="1">
      <c r="A18" s="205" t="s">
        <v>740</v>
      </c>
      <c r="B18" s="207">
        <v>40000.0</v>
      </c>
      <c r="C18" s="219">
        <v>0.0</v>
      </c>
      <c r="D18" s="207" t="s">
        <v>741</v>
      </c>
      <c r="E18" s="220">
        <v>40000.0</v>
      </c>
      <c r="F18" s="220">
        <v>40000.0</v>
      </c>
      <c r="G18" s="210"/>
      <c r="H18" s="221"/>
    </row>
    <row r="19" ht="15.0" customHeight="1">
      <c r="A19" s="222" t="s">
        <v>742</v>
      </c>
      <c r="B19" s="223">
        <f>SUM(B14,B15,B16,B18)</f>
        <v>661600</v>
      </c>
      <c r="C19" s="224"/>
      <c r="D19" s="224"/>
      <c r="E19" s="223">
        <f>SUM(E14,E15,E16,E18)</f>
        <v>418000</v>
      </c>
      <c r="F19" s="225">
        <v>833800.0</v>
      </c>
      <c r="G19" s="221"/>
      <c r="I19" s="221"/>
      <c r="J19" s="183"/>
      <c r="K19" s="183"/>
      <c r="L19" s="226"/>
      <c r="M19" s="227"/>
      <c r="N19" s="227"/>
      <c r="O19" s="227"/>
      <c r="P19" s="227"/>
      <c r="Q19" s="227"/>
      <c r="R19" s="227"/>
      <c r="S19" s="227"/>
      <c r="T19" s="227"/>
      <c r="U19" s="227"/>
      <c r="V19" s="227"/>
      <c r="W19" s="227"/>
      <c r="X19" s="227"/>
      <c r="Y19" s="227"/>
      <c r="Z19" s="227"/>
    </row>
    <row r="20" ht="15.0" customHeight="1">
      <c r="A20" s="193"/>
      <c r="B20" s="193"/>
      <c r="C20" s="193"/>
      <c r="D20" s="193"/>
      <c r="E20" s="193"/>
      <c r="F20" s="193"/>
      <c r="G20" s="193"/>
      <c r="H20" s="193"/>
      <c r="I20" s="193"/>
    </row>
    <row r="21" ht="15.0" customHeight="1">
      <c r="A21" s="200" t="s">
        <v>743</v>
      </c>
      <c r="B21" s="193"/>
      <c r="C21" s="193"/>
      <c r="D21" s="193"/>
      <c r="E21" s="193"/>
      <c r="F21" s="193"/>
      <c r="G21" s="193"/>
      <c r="H21" s="193"/>
      <c r="I21" s="193"/>
    </row>
    <row r="22" ht="15.0" customHeight="1">
      <c r="A22" s="200" t="s">
        <v>744</v>
      </c>
      <c r="B22" s="193"/>
      <c r="C22" s="193"/>
      <c r="D22" s="193"/>
      <c r="E22" s="193"/>
      <c r="F22" s="193"/>
      <c r="G22" s="193"/>
      <c r="H22" s="193"/>
      <c r="I22" s="193"/>
    </row>
    <row r="23" ht="15.0" customHeight="1">
      <c r="A23" s="200" t="s">
        <v>745</v>
      </c>
      <c r="B23" s="193"/>
      <c r="C23" s="193"/>
      <c r="D23" s="193"/>
      <c r="E23" s="193"/>
      <c r="F23" s="193"/>
      <c r="G23" s="193"/>
      <c r="H23" s="193"/>
      <c r="I23" s="193"/>
    </row>
    <row r="24" ht="15.0" customHeight="1">
      <c r="A24" s="193"/>
      <c r="B24" s="193"/>
      <c r="C24" s="193"/>
      <c r="D24" s="193"/>
      <c r="E24" s="193"/>
      <c r="F24" s="193"/>
      <c r="G24" s="193"/>
      <c r="H24" s="193"/>
      <c r="I24" s="193"/>
    </row>
    <row r="25" ht="15.0" customHeight="1">
      <c r="A25" s="204"/>
      <c r="B25" s="204"/>
      <c r="C25" s="204"/>
      <c r="D25" s="204"/>
      <c r="E25" s="204"/>
      <c r="F25" s="204"/>
      <c r="G25" s="204"/>
      <c r="H25" s="204"/>
      <c r="I25" s="193"/>
    </row>
    <row r="26" ht="15.0" customHeight="1">
      <c r="A26" s="193"/>
      <c r="B26" s="193"/>
      <c r="C26" s="193"/>
      <c r="D26" s="193"/>
      <c r="E26" s="193"/>
      <c r="F26" s="193"/>
      <c r="G26" s="193"/>
      <c r="H26" s="193"/>
      <c r="I26" s="193"/>
    </row>
    <row r="27">
      <c r="A27" s="199"/>
      <c r="B27" s="228" t="s">
        <v>728</v>
      </c>
      <c r="C27" s="199"/>
      <c r="D27" s="199"/>
      <c r="E27" s="199"/>
      <c r="F27" s="199"/>
      <c r="G27" s="199"/>
      <c r="H27" s="199"/>
      <c r="I27" s="199"/>
    </row>
    <row r="28" ht="15.75" customHeight="1">
      <c r="A28" s="229" t="s">
        <v>746</v>
      </c>
      <c r="B28" s="230"/>
      <c r="C28" s="199"/>
      <c r="D28" s="199"/>
      <c r="E28" s="199"/>
      <c r="F28" s="199"/>
      <c r="G28" s="199"/>
      <c r="H28" s="199"/>
      <c r="I28" s="199"/>
    </row>
    <row r="29" ht="15.75" customHeight="1">
      <c r="A29" s="231" t="s">
        <v>747</v>
      </c>
      <c r="B29" s="232"/>
      <c r="C29" s="232"/>
      <c r="D29" s="231" t="s">
        <v>748</v>
      </c>
      <c r="E29" s="232"/>
      <c r="F29" s="232"/>
      <c r="G29" s="232"/>
      <c r="H29" s="232"/>
      <c r="I29" s="199"/>
    </row>
    <row r="30">
      <c r="A30" s="233" t="s">
        <v>749</v>
      </c>
      <c r="B30" s="190"/>
      <c r="C30" s="38"/>
      <c r="D30" s="234" t="s">
        <v>750</v>
      </c>
      <c r="E30" s="190"/>
      <c r="F30" s="190"/>
      <c r="G30" s="190"/>
      <c r="H30" s="38"/>
      <c r="I30" s="199"/>
    </row>
    <row r="31">
      <c r="A31" s="233" t="s">
        <v>751</v>
      </c>
      <c r="B31" s="190"/>
      <c r="C31" s="38"/>
      <c r="D31" s="235" t="s">
        <v>752</v>
      </c>
      <c r="E31" s="190"/>
      <c r="F31" s="190"/>
      <c r="G31" s="190"/>
      <c r="H31" s="38"/>
      <c r="I31" s="199"/>
    </row>
    <row r="32" ht="15.75" customHeight="1">
      <c r="A32" s="233" t="s">
        <v>753</v>
      </c>
      <c r="B32" s="190"/>
      <c r="C32" s="38"/>
      <c r="D32" s="235" t="s">
        <v>752</v>
      </c>
      <c r="E32" s="236"/>
      <c r="F32" s="236"/>
      <c r="G32" s="236"/>
      <c r="H32" s="237"/>
      <c r="I32" s="199"/>
    </row>
    <row r="33" ht="15.75" customHeight="1">
      <c r="A33" s="233" t="s">
        <v>754</v>
      </c>
      <c r="B33" s="190"/>
      <c r="C33" s="38"/>
      <c r="D33" s="235" t="s">
        <v>755</v>
      </c>
      <c r="E33" s="190"/>
      <c r="F33" s="190"/>
      <c r="G33" s="190"/>
      <c r="H33" s="38"/>
      <c r="I33" s="199"/>
    </row>
    <row r="34" ht="36.75" customHeight="1">
      <c r="A34" s="233" t="s">
        <v>756</v>
      </c>
      <c r="B34" s="190"/>
      <c r="C34" s="38"/>
      <c r="D34" s="238" t="s">
        <v>757</v>
      </c>
      <c r="E34" s="190"/>
      <c r="F34" s="190"/>
      <c r="G34" s="190"/>
      <c r="H34" s="38"/>
      <c r="I34" s="199"/>
    </row>
    <row r="35" ht="15.0" customHeight="1">
      <c r="A35" s="193"/>
      <c r="B35" s="193"/>
      <c r="C35" s="193"/>
      <c r="D35" s="193"/>
      <c r="E35" s="193"/>
      <c r="F35" s="193"/>
      <c r="G35" s="193"/>
      <c r="H35" s="193"/>
      <c r="I35" s="193"/>
    </row>
    <row r="36" ht="15.0" customHeight="1">
      <c r="A36" s="193"/>
      <c r="B36" s="193"/>
      <c r="C36" s="193"/>
      <c r="D36" s="193"/>
      <c r="E36" s="193"/>
      <c r="F36" s="193"/>
      <c r="G36" s="193"/>
      <c r="H36" s="193"/>
      <c r="I36" s="193"/>
    </row>
    <row r="37" ht="15.0" customHeight="1">
      <c r="A37" s="193"/>
      <c r="B37" s="193"/>
      <c r="C37" s="193"/>
      <c r="D37" s="193"/>
      <c r="E37" s="193"/>
      <c r="F37" s="193"/>
      <c r="G37" s="193"/>
      <c r="H37" s="193"/>
      <c r="I37" s="193"/>
    </row>
    <row r="38" ht="15.0" customHeight="1">
      <c r="A38" s="193"/>
      <c r="B38" s="193"/>
      <c r="C38" s="193"/>
      <c r="D38" s="193"/>
      <c r="E38" s="193"/>
      <c r="F38" s="193"/>
      <c r="G38" s="193"/>
      <c r="H38" s="193"/>
      <c r="I38" s="193"/>
    </row>
    <row r="39" ht="15.0" customHeight="1">
      <c r="A39" s="204"/>
      <c r="B39" s="204"/>
      <c r="C39" s="204"/>
      <c r="D39" s="204"/>
      <c r="E39" s="204"/>
      <c r="F39" s="204"/>
      <c r="G39" s="204"/>
      <c r="H39" s="204"/>
      <c r="I39" s="193"/>
    </row>
    <row r="40" ht="15.0" customHeight="1">
      <c r="A40" s="193"/>
      <c r="B40" s="193"/>
      <c r="C40" s="193"/>
      <c r="D40" s="193"/>
      <c r="E40" s="193"/>
      <c r="F40" s="193"/>
      <c r="G40" s="193"/>
      <c r="H40" s="193"/>
      <c r="I40" s="193"/>
    </row>
    <row r="41">
      <c r="A41" s="193"/>
      <c r="B41" s="228" t="s">
        <v>729</v>
      </c>
      <c r="C41" s="193"/>
      <c r="D41" s="193"/>
      <c r="E41" s="193"/>
      <c r="F41" s="193"/>
      <c r="G41" s="193"/>
      <c r="H41" s="193"/>
      <c r="I41" s="193"/>
    </row>
    <row r="42" ht="15.0" customHeight="1">
      <c r="A42" s="193"/>
      <c r="B42" s="193"/>
      <c r="C42" s="193"/>
      <c r="D42" s="193"/>
      <c r="E42" s="193"/>
      <c r="F42" s="193"/>
      <c r="G42" s="193"/>
      <c r="H42" s="193"/>
      <c r="I42" s="193"/>
    </row>
    <row r="43" ht="24.75" customHeight="1">
      <c r="A43" s="231" t="s">
        <v>747</v>
      </c>
      <c r="B43" s="232"/>
      <c r="C43" s="232"/>
      <c r="D43" s="231" t="s">
        <v>748</v>
      </c>
      <c r="E43" s="232"/>
      <c r="F43" s="232"/>
      <c r="G43" s="232"/>
      <c r="H43" s="232"/>
      <c r="I43" s="193"/>
    </row>
    <row r="44">
      <c r="A44" s="233" t="s">
        <v>758</v>
      </c>
      <c r="B44" s="190"/>
      <c r="C44" s="38"/>
      <c r="D44" s="238" t="s">
        <v>759</v>
      </c>
      <c r="E44" s="190"/>
      <c r="F44" s="190"/>
      <c r="G44" s="190"/>
      <c r="H44" s="38"/>
      <c r="I44" s="193"/>
    </row>
    <row r="45">
      <c r="A45" s="233" t="s">
        <v>760</v>
      </c>
      <c r="B45" s="190"/>
      <c r="C45" s="38"/>
      <c r="D45" s="239" t="s">
        <v>761</v>
      </c>
      <c r="E45" s="190"/>
      <c r="F45" s="190"/>
      <c r="G45" s="190"/>
      <c r="H45" s="38"/>
      <c r="I45" s="193"/>
    </row>
    <row r="46">
      <c r="A46" s="233" t="s">
        <v>762</v>
      </c>
      <c r="B46" s="190"/>
      <c r="C46" s="38"/>
      <c r="D46" s="238" t="s">
        <v>763</v>
      </c>
      <c r="E46" s="190"/>
      <c r="F46" s="190"/>
      <c r="G46" s="190"/>
      <c r="H46" s="38"/>
      <c r="I46" s="193"/>
    </row>
    <row r="47" ht="26.25" customHeight="1">
      <c r="A47" s="233" t="s">
        <v>764</v>
      </c>
      <c r="B47" s="190"/>
      <c r="C47" s="38"/>
      <c r="D47" s="238" t="s">
        <v>765</v>
      </c>
      <c r="E47" s="190"/>
      <c r="F47" s="190"/>
      <c r="G47" s="190"/>
      <c r="H47" s="38"/>
      <c r="I47" s="193"/>
    </row>
    <row r="48" ht="15.75" customHeight="1">
      <c r="A48" s="233" t="s">
        <v>766</v>
      </c>
      <c r="B48" s="190"/>
      <c r="C48" s="38"/>
      <c r="D48" s="235" t="s">
        <v>767</v>
      </c>
      <c r="E48" s="190"/>
      <c r="F48" s="190"/>
      <c r="G48" s="190"/>
      <c r="H48" s="38"/>
      <c r="I48" s="193"/>
    </row>
    <row r="49" ht="46.5" customHeight="1">
      <c r="A49" s="233" t="s">
        <v>768</v>
      </c>
      <c r="B49" s="190"/>
      <c r="C49" s="38"/>
      <c r="D49" s="235" t="s">
        <v>769</v>
      </c>
      <c r="E49" s="190"/>
      <c r="F49" s="190"/>
      <c r="G49" s="190"/>
      <c r="H49" s="38"/>
      <c r="I49" s="193"/>
    </row>
    <row r="50" ht="15.75" customHeight="1">
      <c r="A50" s="233" t="s">
        <v>770</v>
      </c>
      <c r="B50" s="190"/>
      <c r="C50" s="38"/>
      <c r="D50" s="235" t="s">
        <v>771</v>
      </c>
      <c r="E50" s="190"/>
      <c r="F50" s="190"/>
      <c r="G50" s="190"/>
      <c r="H50" s="38"/>
      <c r="I50" s="193"/>
    </row>
    <row r="51" ht="15.75" customHeight="1">
      <c r="A51" s="233" t="s">
        <v>772</v>
      </c>
      <c r="B51" s="190"/>
      <c r="C51" s="38"/>
      <c r="D51" s="235" t="s">
        <v>773</v>
      </c>
      <c r="E51" s="190"/>
      <c r="F51" s="190"/>
      <c r="G51" s="190"/>
      <c r="H51" s="38"/>
      <c r="I51" s="193"/>
    </row>
    <row r="52" ht="24.75" customHeight="1">
      <c r="A52" s="233" t="s">
        <v>774</v>
      </c>
      <c r="B52" s="190"/>
      <c r="C52" s="38"/>
      <c r="D52" s="234" t="s">
        <v>775</v>
      </c>
      <c r="E52" s="190"/>
      <c r="F52" s="190"/>
      <c r="G52" s="190"/>
      <c r="H52" s="38"/>
      <c r="I52" s="240"/>
    </row>
    <row r="53" ht="36.0" customHeight="1">
      <c r="A53" s="233" t="s">
        <v>776</v>
      </c>
      <c r="B53" s="190"/>
      <c r="C53" s="38"/>
      <c r="D53" s="235" t="s">
        <v>777</v>
      </c>
      <c r="E53" s="190"/>
      <c r="F53" s="190"/>
      <c r="G53" s="190"/>
      <c r="H53" s="38"/>
      <c r="I53" s="240"/>
    </row>
    <row r="54" ht="24.75" customHeight="1">
      <c r="A54" s="233" t="s">
        <v>778</v>
      </c>
      <c r="B54" s="190"/>
      <c r="C54" s="38"/>
      <c r="D54" s="235" t="s">
        <v>779</v>
      </c>
      <c r="E54" s="190"/>
      <c r="F54" s="190"/>
      <c r="G54" s="190"/>
      <c r="H54" s="38"/>
      <c r="I54" s="240"/>
    </row>
    <row r="55" ht="15.75" customHeight="1">
      <c r="A55" s="233" t="s">
        <v>780</v>
      </c>
      <c r="B55" s="190"/>
      <c r="C55" s="38"/>
      <c r="D55" s="235" t="s">
        <v>781</v>
      </c>
      <c r="E55" s="190"/>
      <c r="F55" s="190"/>
      <c r="G55" s="190"/>
      <c r="H55" s="38"/>
      <c r="I55" s="193"/>
    </row>
    <row r="56" ht="15.0" customHeight="1">
      <c r="A56" s="193"/>
      <c r="B56" s="193"/>
      <c r="C56" s="193"/>
      <c r="D56" s="193"/>
      <c r="E56" s="193"/>
      <c r="F56" s="193"/>
      <c r="G56" s="193"/>
      <c r="H56" s="193"/>
      <c r="I56" s="193"/>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38">
    <mergeCell ref="A3:C3"/>
    <mergeCell ref="A29:C29"/>
    <mergeCell ref="D29:H29"/>
    <mergeCell ref="A30:C30"/>
    <mergeCell ref="D30:H30"/>
    <mergeCell ref="A31:C31"/>
    <mergeCell ref="D31:H31"/>
    <mergeCell ref="A32:C32"/>
    <mergeCell ref="A33:C33"/>
    <mergeCell ref="D33:H33"/>
    <mergeCell ref="A34:C34"/>
    <mergeCell ref="D34:H34"/>
    <mergeCell ref="A43:C43"/>
    <mergeCell ref="D43:H43"/>
    <mergeCell ref="D48:H48"/>
    <mergeCell ref="D49:H49"/>
    <mergeCell ref="D50:H50"/>
    <mergeCell ref="D51:H51"/>
    <mergeCell ref="D52:H52"/>
    <mergeCell ref="D53:H53"/>
    <mergeCell ref="D54:H54"/>
    <mergeCell ref="D55:H55"/>
    <mergeCell ref="A44:C44"/>
    <mergeCell ref="D44:H44"/>
    <mergeCell ref="A45:C45"/>
    <mergeCell ref="D45:H45"/>
    <mergeCell ref="A46:C46"/>
    <mergeCell ref="D46:H46"/>
    <mergeCell ref="D47:H47"/>
    <mergeCell ref="A54:C54"/>
    <mergeCell ref="A55:C55"/>
    <mergeCell ref="A47:C47"/>
    <mergeCell ref="A48:C48"/>
    <mergeCell ref="A49:C49"/>
    <mergeCell ref="A50:C50"/>
    <mergeCell ref="A51:C51"/>
    <mergeCell ref="A52:C52"/>
    <mergeCell ref="A53:C53"/>
  </mergeCells>
  <hyperlinks>
    <hyperlink display="Subscription Fees" location="'Pricing Sheet'!B13" ref="A6"/>
    <hyperlink display="Implementation Fees" location="'Pricing Sheet'!B35" ref="A7"/>
    <hyperlink display="Additional Pricing Questions" location="'Pricing Sheet'!B49" ref="A8"/>
    <hyperlink r:id="rId1" ref="D30"/>
    <hyperlink r:id="rId2" ref="D52"/>
  </hyperlinks>
  <printOptions/>
  <pageMargins bottom="0.75" footer="0.0" header="0.0" left="0.7" right="0.7" top="0.75"/>
  <pageSetup orientation="landscape"/>
  <drawing r:id="rId3"/>
</worksheet>
</file>